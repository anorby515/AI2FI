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filterPrivacy="1"/>
  <xr:revisionPtr revIDLastSave="0" documentId="13_ncr:1_{AA9D0CDC-6962-CA41-9F77-944906F846C5}" xr6:coauthVersionLast="47" xr6:coauthVersionMax="47" xr10:uidLastSave="{00000000-0000-0000-0000-000000000000}"/>
  <bookViews>
    <workbookView xWindow="5040" yWindow="600" windowWidth="23760" windowHeight="14620" activeTab="1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Mortgage" sheetId="1" r:id="rId4"/>
    <sheet name="Education Savings" sheetId="7" r:id="rId5"/>
    <sheet name="Brokerage Ledger" sheetId="3" r:id="rId6"/>
    <sheet name="TICKERS" sheetId="5" r:id="rId7"/>
  </sheet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D4" i="7"/>
  <c r="D3" i="7"/>
  <c r="O74" i="3"/>
  <c r="I74" i="3"/>
  <c r="G74" i="3" a="1"/>
  <c r="G74" i="3" s="1"/>
  <c r="D74" i="3" a="1"/>
  <c r="D74" i="3" s="1"/>
  <c r="C74" i="3" a="1"/>
  <c r="C74" i="3" s="1"/>
  <c r="O73" i="3"/>
  <c r="I73" i="3"/>
  <c r="G73" i="3" a="1"/>
  <c r="G73" i="3" s="1"/>
  <c r="D73" i="3" a="1"/>
  <c r="D73" i="3" s="1"/>
  <c r="C73" i="3" a="1"/>
  <c r="C73" i="3" s="1"/>
  <c r="O72" i="3"/>
  <c r="I72" i="3"/>
  <c r="G72" i="3" a="1"/>
  <c r="G72" i="3" s="1"/>
  <c r="D72" i="3" a="1"/>
  <c r="D72" i="3" s="1"/>
  <c r="C72" i="3" a="1"/>
  <c r="C72" i="3" s="1"/>
  <c r="O71" i="3"/>
  <c r="I71" i="3"/>
  <c r="G71" i="3" a="1"/>
  <c r="G71" i="3"/>
  <c r="D71" i="3" a="1"/>
  <c r="D71" i="3" s="1"/>
  <c r="C71" i="3" a="1"/>
  <c r="C71" i="3" s="1"/>
  <c r="O70" i="3"/>
  <c r="I70" i="3"/>
  <c r="G70" i="3" a="1"/>
  <c r="G70" i="3"/>
  <c r="D70" i="3" a="1"/>
  <c r="D70" i="3" s="1"/>
  <c r="C70" i="3" a="1"/>
  <c r="C70" i="3" s="1"/>
  <c r="O69" i="3"/>
  <c r="I69" i="3"/>
  <c r="G69" i="3" a="1"/>
  <c r="G69" i="3"/>
  <c r="D69" i="3" a="1"/>
  <c r="D69" i="3"/>
  <c r="C69" i="3" a="1"/>
  <c r="C69" i="3"/>
  <c r="O68" i="3"/>
  <c r="I68" i="3"/>
  <c r="G68" i="3" a="1"/>
  <c r="G68" i="3" s="1"/>
  <c r="D68" i="3" a="1"/>
  <c r="D68" i="3"/>
  <c r="C68" i="3" a="1"/>
  <c r="C68" i="3" s="1"/>
  <c r="O67" i="3"/>
  <c r="I67" i="3"/>
  <c r="G67" i="3" a="1"/>
  <c r="G67" i="3" s="1"/>
  <c r="D67" i="3" a="1"/>
  <c r="D67" i="3" s="1"/>
  <c r="C67" i="3" a="1"/>
  <c r="C67" i="3"/>
  <c r="O66" i="3"/>
  <c r="I66" i="3"/>
  <c r="G66" i="3" a="1"/>
  <c r="G66" i="3"/>
  <c r="D66" i="3" a="1"/>
  <c r="D66" i="3" s="1"/>
  <c r="C66" i="3" a="1"/>
  <c r="C66" i="3" s="1"/>
  <c r="O65" i="3"/>
  <c r="I65" i="3"/>
  <c r="G65" i="3" a="1"/>
  <c r="G65" i="3" s="1"/>
  <c r="D65" i="3" a="1"/>
  <c r="D65" i="3"/>
  <c r="C65" i="3" a="1"/>
  <c r="C65" i="3" s="1"/>
  <c r="O64" i="3"/>
  <c r="J64" i="3"/>
  <c r="I64" i="3"/>
  <c r="G64" i="3" a="1"/>
  <c r="G64" i="3" s="1"/>
  <c r="D64" i="3" a="1"/>
  <c r="D64" i="3" s="1"/>
  <c r="C64" i="3" a="1"/>
  <c r="C64" i="3"/>
  <c r="O63" i="3"/>
  <c r="I63" i="3"/>
  <c r="G63" i="3" a="1"/>
  <c r="G63" i="3"/>
  <c r="D63" i="3" a="1"/>
  <c r="D63" i="3" s="1"/>
  <c r="C63" i="3" a="1"/>
  <c r="C63" i="3" s="1"/>
  <c r="O62" i="3"/>
  <c r="J62" i="3"/>
  <c r="I62" i="3"/>
  <c r="G62" i="3" a="1"/>
  <c r="G62" i="3" s="1"/>
  <c r="D62" i="3" a="1"/>
  <c r="D62" i="3" s="1"/>
  <c r="C62" i="3" a="1"/>
  <c r="C62" i="3"/>
  <c r="O61" i="3"/>
  <c r="I61" i="3"/>
  <c r="G61" i="3" a="1"/>
  <c r="G61" i="3" s="1"/>
  <c r="D61" i="3" a="1"/>
  <c r="D61" i="3" s="1"/>
  <c r="C61" i="3" a="1"/>
  <c r="C61" i="3" s="1"/>
  <c r="O60" i="3"/>
  <c r="I60" i="3"/>
  <c r="G60" i="3" a="1"/>
  <c r="G60" i="3"/>
  <c r="D60" i="3" a="1"/>
  <c r="D60" i="3" s="1"/>
  <c r="C60" i="3" a="1"/>
  <c r="C60" i="3" s="1"/>
  <c r="O59" i="3"/>
  <c r="I59" i="3"/>
  <c r="G59" i="3" a="1"/>
  <c r="G59" i="3"/>
  <c r="D59" i="3" a="1"/>
  <c r="D59" i="3"/>
  <c r="C59" i="3" a="1"/>
  <c r="C59" i="3" s="1"/>
  <c r="O58" i="3"/>
  <c r="I58" i="3"/>
  <c r="G58" i="3" a="1"/>
  <c r="G58" i="3"/>
  <c r="D58" i="3" a="1"/>
  <c r="D58" i="3" s="1"/>
  <c r="C58" i="3" a="1"/>
  <c r="C58" i="3"/>
  <c r="O57" i="3"/>
  <c r="I57" i="3"/>
  <c r="G57" i="3" a="1"/>
  <c r="G57" i="3" s="1"/>
  <c r="D57" i="3" a="1"/>
  <c r="D57" i="3"/>
  <c r="C57" i="3" a="1"/>
  <c r="C57" i="3"/>
  <c r="O56" i="3"/>
  <c r="I56" i="3"/>
  <c r="G56" i="3" a="1"/>
  <c r="G56" i="3" s="1"/>
  <c r="D56" i="3" a="1"/>
  <c r="D56" i="3" s="1"/>
  <c r="C56" i="3" a="1"/>
  <c r="C56" i="3"/>
  <c r="O55" i="3"/>
  <c r="J55" i="3"/>
  <c r="I55" i="3"/>
  <c r="G55" i="3" a="1"/>
  <c r="G55" i="3"/>
  <c r="D55" i="3" a="1"/>
  <c r="D55" i="3" s="1"/>
  <c r="C55" i="3" a="1"/>
  <c r="C55" i="3" s="1"/>
  <c r="O54" i="3"/>
  <c r="I54" i="3"/>
  <c r="G54" i="3" a="1"/>
  <c r="G54" i="3" s="1"/>
  <c r="D54" i="3" a="1"/>
  <c r="D54" i="3"/>
  <c r="C54" i="3" a="1"/>
  <c r="C54" i="3"/>
  <c r="O53" i="3"/>
  <c r="I53" i="3"/>
  <c r="G53" i="3" a="1"/>
  <c r="G53" i="3" s="1"/>
  <c r="D53" i="3" a="1"/>
  <c r="D53" i="3" s="1"/>
  <c r="C53" i="3" a="1"/>
  <c r="C53" i="3"/>
  <c r="O52" i="3"/>
  <c r="I52" i="3"/>
  <c r="G52" i="3" a="1"/>
  <c r="G52" i="3"/>
  <c r="D52" i="3" a="1"/>
  <c r="D52" i="3" s="1"/>
  <c r="C52" i="3" a="1"/>
  <c r="C52" i="3" s="1"/>
  <c r="O51" i="3"/>
  <c r="I51" i="3"/>
  <c r="G51" i="3" a="1"/>
  <c r="G51" i="3"/>
  <c r="D51" i="3" a="1"/>
  <c r="D51" i="3"/>
  <c r="C51" i="3" a="1"/>
  <c r="C51" i="3" s="1"/>
  <c r="O50" i="3"/>
  <c r="I50" i="3"/>
  <c r="G50" i="3" a="1"/>
  <c r="G50" i="3"/>
  <c r="D50" i="3" a="1"/>
  <c r="D50" i="3" s="1"/>
  <c r="C50" i="3" a="1"/>
  <c r="C50" i="3"/>
  <c r="O49" i="3"/>
  <c r="I49" i="3"/>
  <c r="G49" i="3" a="1"/>
  <c r="G49" i="3" s="1"/>
  <c r="D49" i="3" a="1"/>
  <c r="D49" i="3"/>
  <c r="C49" i="3" a="1"/>
  <c r="C49" i="3"/>
  <c r="O48" i="3"/>
  <c r="I48" i="3"/>
  <c r="G48" i="3" a="1"/>
  <c r="G48" i="3" s="1"/>
  <c r="D48" i="3" a="1"/>
  <c r="D48" i="3" s="1"/>
  <c r="C48" i="3" a="1"/>
  <c r="C48" i="3"/>
  <c r="O47" i="3"/>
  <c r="I47" i="3"/>
  <c r="G47" i="3" a="1"/>
  <c r="G47" i="3"/>
  <c r="D47" i="3" a="1"/>
  <c r="D47" i="3" s="1"/>
  <c r="C47" i="3" a="1"/>
  <c r="C47" i="3" s="1"/>
  <c r="O46" i="3"/>
  <c r="J46" i="3"/>
  <c r="I46" i="3"/>
  <c r="G46" i="3" a="1"/>
  <c r="G46" i="3" s="1"/>
  <c r="D46" i="3" a="1"/>
  <c r="D46" i="3" s="1"/>
  <c r="C46" i="3" a="1"/>
  <c r="C46" i="3"/>
  <c r="O45" i="3"/>
  <c r="I45" i="3"/>
  <c r="G45" i="3" a="1"/>
  <c r="G45" i="3" s="1"/>
  <c r="D45" i="3" a="1"/>
  <c r="D45" i="3" s="1"/>
  <c r="C45" i="3" a="1"/>
  <c r="C45" i="3" s="1"/>
  <c r="O44" i="3"/>
  <c r="I44" i="3"/>
  <c r="G44" i="3" a="1"/>
  <c r="G44" i="3"/>
  <c r="D44" i="3" a="1"/>
  <c r="D44" i="3" s="1"/>
  <c r="C44" i="3" a="1"/>
  <c r="C44" i="3" s="1"/>
  <c r="O43" i="3"/>
  <c r="J43" i="3"/>
  <c r="I43" i="3"/>
  <c r="G43" i="3" a="1"/>
  <c r="G43" i="3" s="1"/>
  <c r="D43" i="3" a="1"/>
  <c r="D43" i="3"/>
  <c r="C43" i="3" a="1"/>
  <c r="C43" i="3"/>
  <c r="O42" i="3"/>
  <c r="I42" i="3"/>
  <c r="G42" i="3" a="1"/>
  <c r="G42" i="3" s="1"/>
  <c r="D42" i="3" a="1"/>
  <c r="D42" i="3" s="1"/>
  <c r="C42" i="3" a="1"/>
  <c r="C42" i="3"/>
  <c r="O41" i="3"/>
  <c r="I41" i="3"/>
  <c r="G41" i="3" a="1"/>
  <c r="G41" i="3"/>
  <c r="D41" i="3" a="1"/>
  <c r="D41" i="3" s="1"/>
  <c r="C41" i="3" a="1"/>
  <c r="C41" i="3" s="1"/>
  <c r="O40" i="3"/>
  <c r="I40" i="3"/>
  <c r="G40" i="3" a="1"/>
  <c r="G40" i="3"/>
  <c r="D40" i="3" a="1"/>
  <c r="D40" i="3" s="1"/>
  <c r="C40" i="3" a="1"/>
  <c r="C40" i="3" s="1"/>
  <c r="O39" i="3"/>
  <c r="I39" i="3"/>
  <c r="G39" i="3" a="1"/>
  <c r="G39" i="3"/>
  <c r="D39" i="3" a="1"/>
  <c r="D39" i="3"/>
  <c r="C39" i="3" a="1"/>
  <c r="C39" i="3"/>
  <c r="O38" i="3"/>
  <c r="I38" i="3"/>
  <c r="G38" i="3" a="1"/>
  <c r="G38" i="3" s="1"/>
  <c r="D38" i="3" a="1"/>
  <c r="D38" i="3"/>
  <c r="C38" i="3" a="1"/>
  <c r="C38" i="3" s="1"/>
  <c r="O37" i="3"/>
  <c r="I37" i="3"/>
  <c r="G37" i="3" a="1"/>
  <c r="G37" i="3" s="1"/>
  <c r="D37" i="3" a="1"/>
  <c r="D37" i="3" s="1"/>
  <c r="C37" i="3" a="1"/>
  <c r="C37" i="3"/>
  <c r="O36" i="3"/>
  <c r="I36" i="3"/>
  <c r="G36" i="3" a="1"/>
  <c r="G36" i="3"/>
  <c r="D36" i="3" a="1"/>
  <c r="D36" i="3" s="1"/>
  <c r="C36" i="3" a="1"/>
  <c r="C36" i="3" s="1"/>
  <c r="O35" i="3"/>
  <c r="K35" i="3"/>
  <c r="J35" i="3"/>
  <c r="I35" i="3"/>
  <c r="G35" i="3" a="1"/>
  <c r="G35" i="3"/>
  <c r="D35" i="3" a="1"/>
  <c r="D35" i="3" s="1"/>
  <c r="C35" i="3" a="1"/>
  <c r="C35" i="3" s="1"/>
  <c r="O34" i="3"/>
  <c r="K34" i="3"/>
  <c r="J34" i="3"/>
  <c r="I34" i="3"/>
  <c r="G34" i="3" a="1"/>
  <c r="G34" i="3"/>
  <c r="D34" i="3" a="1"/>
  <c r="D34" i="3" s="1"/>
  <c r="C34" i="3" a="1"/>
  <c r="C34" i="3" s="1"/>
  <c r="O33" i="3"/>
  <c r="I33" i="3"/>
  <c r="G33" i="3" a="1"/>
  <c r="G33" i="3"/>
  <c r="D33" i="3" a="1"/>
  <c r="D33" i="3"/>
  <c r="C33" i="3" a="1"/>
  <c r="C33" i="3" s="1"/>
  <c r="O32" i="3"/>
  <c r="I32" i="3"/>
  <c r="G32" i="3" a="1"/>
  <c r="G32" i="3"/>
  <c r="D32" i="3" a="1"/>
  <c r="D32" i="3"/>
  <c r="C32" i="3" a="1"/>
  <c r="C32" i="3" s="1"/>
  <c r="O31" i="3"/>
  <c r="I31" i="3"/>
  <c r="G31" i="3" a="1"/>
  <c r="G31" i="3" s="1"/>
  <c r="D31" i="3" a="1"/>
  <c r="D31" i="3" s="1"/>
  <c r="C31" i="3" a="1"/>
  <c r="C31" i="3"/>
  <c r="O30" i="3"/>
  <c r="K30" i="3"/>
  <c r="J30" i="3"/>
  <c r="I30" i="3"/>
  <c r="G30" i="3" a="1"/>
  <c r="G30" i="3" s="1"/>
  <c r="D30" i="3" a="1"/>
  <c r="D30" i="3"/>
  <c r="C30" i="3" a="1"/>
  <c r="C30" i="3" s="1"/>
  <c r="O29" i="3"/>
  <c r="K29" i="3"/>
  <c r="J29" i="3"/>
  <c r="I29" i="3"/>
  <c r="G29" i="3" a="1"/>
  <c r="G29" i="3" s="1"/>
  <c r="D29" i="3" a="1"/>
  <c r="D29" i="3"/>
  <c r="C29" i="3" a="1"/>
  <c r="C29" i="3"/>
  <c r="O28" i="3"/>
  <c r="K28" i="3"/>
  <c r="J28" i="3"/>
  <c r="I28" i="3"/>
  <c r="G28" i="3" a="1"/>
  <c r="G28" i="3" s="1"/>
  <c r="D28" i="3" a="1"/>
  <c r="D28" i="3" s="1"/>
  <c r="C28" i="3" a="1"/>
  <c r="C28" i="3" s="1"/>
  <c r="O27" i="3"/>
  <c r="K27" i="3"/>
  <c r="J27" i="3"/>
  <c r="I27" i="3"/>
  <c r="G27" i="3" a="1"/>
  <c r="G27" i="3" s="1"/>
  <c r="D27" i="3" a="1"/>
  <c r="D27" i="3"/>
  <c r="C27" i="3" a="1"/>
  <c r="C27" i="3"/>
  <c r="O26" i="3"/>
  <c r="K26" i="3"/>
  <c r="J26" i="3"/>
  <c r="I26" i="3"/>
  <c r="G26" i="3" a="1"/>
  <c r="G26" i="3" s="1"/>
  <c r="D26" i="3" a="1"/>
  <c r="D26" i="3" s="1"/>
  <c r="C26" i="3" a="1"/>
  <c r="C26" i="3"/>
  <c r="O25" i="3"/>
  <c r="K25" i="3"/>
  <c r="J25" i="3"/>
  <c r="I25" i="3"/>
  <c r="G25" i="3" a="1"/>
  <c r="G25" i="3" s="1"/>
  <c r="D25" i="3" a="1"/>
  <c r="D25" i="3"/>
  <c r="C25" i="3" a="1"/>
  <c r="C25" i="3" s="1"/>
  <c r="K24" i="3"/>
  <c r="J24" i="3"/>
  <c r="I24" i="3"/>
  <c r="G24" i="3" a="1"/>
  <c r="G24" i="3"/>
  <c r="D24" i="3" a="1"/>
  <c r="D24" i="3"/>
  <c r="C24" i="3" a="1"/>
  <c r="C24" i="3" s="1"/>
  <c r="O23" i="3"/>
  <c r="K23" i="3"/>
  <c r="J23" i="3"/>
  <c r="I23" i="3"/>
  <c r="G23" i="3" a="1"/>
  <c r="G23" i="3"/>
  <c r="D23" i="3" a="1"/>
  <c r="D23" i="3" s="1"/>
  <c r="C23" i="3" a="1"/>
  <c r="C23" i="3" s="1"/>
  <c r="O22" i="3"/>
  <c r="K22" i="3"/>
  <c r="J22" i="3"/>
  <c r="I22" i="3"/>
  <c r="G22" i="3" a="1"/>
  <c r="G22" i="3"/>
  <c r="D22" i="3" a="1"/>
  <c r="D22" i="3"/>
  <c r="C22" i="3" a="1"/>
  <c r="C22" i="3" s="1"/>
  <c r="O21" i="3"/>
  <c r="K21" i="3"/>
  <c r="J21" i="3"/>
  <c r="I21" i="3"/>
  <c r="G21" i="3" a="1"/>
  <c r="G21" i="3"/>
  <c r="D21" i="3" a="1"/>
  <c r="D21" i="3"/>
  <c r="C21" i="3" a="1"/>
  <c r="C21" i="3" s="1"/>
  <c r="O20" i="3"/>
  <c r="K20" i="3"/>
  <c r="I20" i="3"/>
  <c r="G20" i="3" a="1"/>
  <c r="G20" i="3" s="1"/>
  <c r="D20" i="3" a="1"/>
  <c r="D20" i="3" s="1"/>
  <c r="C20" i="3" a="1"/>
  <c r="C20" i="3"/>
  <c r="O19" i="3"/>
  <c r="I19" i="3"/>
  <c r="G19" i="3" a="1"/>
  <c r="G19" i="3"/>
  <c r="D19" i="3" a="1"/>
  <c r="D19" i="3" s="1"/>
  <c r="C19" i="3" a="1"/>
  <c r="C19" i="3" s="1"/>
  <c r="O18" i="3"/>
  <c r="I18" i="3"/>
  <c r="G18" i="3" a="1"/>
  <c r="G18" i="3"/>
  <c r="D18" i="3" a="1"/>
  <c r="D18" i="3"/>
  <c r="C18" i="3" a="1"/>
  <c r="C18" i="3" s="1"/>
  <c r="O17" i="3"/>
  <c r="I17" i="3"/>
  <c r="G17" i="3" a="1"/>
  <c r="G17" i="3"/>
  <c r="D17" i="3" a="1"/>
  <c r="D17" i="3" s="1"/>
  <c r="C17" i="3" a="1"/>
  <c r="C17" i="3"/>
  <c r="O16" i="3"/>
  <c r="I16" i="3"/>
  <c r="G16" i="3" a="1"/>
  <c r="G16" i="3" s="1"/>
  <c r="D16" i="3" a="1"/>
  <c r="D16" i="3" s="1"/>
  <c r="C16" i="3" a="1"/>
  <c r="C16" i="3"/>
  <c r="O15" i="3"/>
  <c r="J15" i="3"/>
  <c r="I15" i="3"/>
  <c r="G15" i="3" a="1"/>
  <c r="G15" i="3"/>
  <c r="D15" i="3" a="1"/>
  <c r="D15" i="3" s="1"/>
  <c r="C15" i="3" a="1"/>
  <c r="C15" i="3" s="1"/>
  <c r="O14" i="3"/>
  <c r="I14" i="3"/>
  <c r="G14" i="3" a="1"/>
  <c r="G14" i="3"/>
  <c r="D14" i="3" a="1"/>
  <c r="D14" i="3" s="1"/>
  <c r="C14" i="3" a="1"/>
  <c r="C14" i="3"/>
  <c r="O13" i="3"/>
  <c r="I13" i="3"/>
  <c r="G13" i="3" a="1"/>
  <c r="G13" i="3" s="1"/>
  <c r="D13" i="3" a="1"/>
  <c r="D13" i="3"/>
  <c r="C13" i="3" a="1"/>
  <c r="C13" i="3" s="1"/>
  <c r="O12" i="3"/>
  <c r="K12" i="3"/>
  <c r="J12" i="3"/>
  <c r="I12" i="3"/>
  <c r="G12" i="3" a="1"/>
  <c r="G12" i="3" s="1"/>
  <c r="D12" i="3" a="1"/>
  <c r="D12" i="3" s="1"/>
  <c r="C12" i="3" a="1"/>
  <c r="C12" i="3"/>
  <c r="N11" i="3"/>
  <c r="K11" i="3"/>
  <c r="J11" i="3"/>
  <c r="I11" i="3"/>
  <c r="G11" i="3" a="1"/>
  <c r="G11" i="3" s="1"/>
  <c r="D11" i="3" a="1"/>
  <c r="D11" i="3" s="1"/>
  <c r="C11" i="3" a="1"/>
  <c r="C11" i="3"/>
  <c r="O10" i="3"/>
  <c r="K10" i="3"/>
  <c r="J10" i="3"/>
  <c r="I10" i="3"/>
  <c r="G10" i="3" a="1"/>
  <c r="G10" i="3" s="1"/>
  <c r="D10" i="3" a="1"/>
  <c r="D10" i="3" s="1"/>
  <c r="C10" i="3" a="1"/>
  <c r="C10" i="3" s="1"/>
  <c r="O9" i="3"/>
  <c r="K9" i="3"/>
  <c r="J9" i="3"/>
  <c r="I9" i="3"/>
  <c r="G9" i="3" a="1"/>
  <c r="G9" i="3" s="1"/>
  <c r="D9" i="3" a="1"/>
  <c r="D9" i="3"/>
  <c r="C9" i="3" a="1"/>
  <c r="C9" i="3"/>
  <c r="O8" i="3"/>
  <c r="K8" i="3"/>
  <c r="J8" i="3"/>
  <c r="I8" i="3"/>
  <c r="G8" i="3" a="1"/>
  <c r="G8" i="3" s="1"/>
  <c r="D8" i="3" a="1"/>
  <c r="D8" i="3" s="1"/>
  <c r="C8" i="3" a="1"/>
  <c r="C8" i="3"/>
  <c r="O7" i="3"/>
  <c r="K7" i="3"/>
  <c r="J7" i="3"/>
  <c r="I7" i="3"/>
  <c r="G7" i="3" a="1"/>
  <c r="G7" i="3" s="1"/>
  <c r="D7" i="3" a="1"/>
  <c r="D7" i="3"/>
  <c r="C7" i="3" a="1"/>
  <c r="C7" i="3"/>
  <c r="O6" i="3"/>
  <c r="K6" i="3"/>
  <c r="J6" i="3"/>
  <c r="I6" i="3"/>
  <c r="G6" i="3" a="1"/>
  <c r="G6" i="3" s="1"/>
  <c r="D6" i="3" a="1"/>
  <c r="D6" i="3"/>
  <c r="C6" i="3" a="1"/>
  <c r="C6" i="3" s="1"/>
  <c r="O5" i="3"/>
  <c r="K5" i="3"/>
  <c r="J5" i="3"/>
  <c r="I5" i="3"/>
  <c r="G5" i="3" a="1"/>
  <c r="G5" i="3" s="1"/>
  <c r="D5" i="3" a="1"/>
  <c r="D5" i="3"/>
  <c r="C5" i="3" a="1"/>
  <c r="C5" i="3" s="1"/>
  <c r="O4" i="3"/>
  <c r="I4" i="3"/>
  <c r="G4" i="3" a="1"/>
  <c r="G4" i="3" s="1"/>
  <c r="D4" i="3" a="1"/>
  <c r="D4" i="3" s="1"/>
  <c r="C4" i="3" a="1"/>
  <c r="C4" i="3"/>
  <c r="O3" i="3"/>
  <c r="K3" i="3"/>
  <c r="I3" i="3"/>
  <c r="G3" i="3" a="1"/>
  <c r="G3" i="3"/>
  <c r="D3" i="3" a="1"/>
  <c r="D3" i="3"/>
  <c r="C3" i="3" a="1"/>
  <c r="C3" i="3" s="1"/>
  <c r="C20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F14" i="2"/>
  <c r="E14" i="2"/>
  <c r="D14" i="2"/>
  <c r="C14" i="2"/>
  <c r="C13" i="2"/>
  <c r="F12" i="2"/>
  <c r="E12" i="2"/>
  <c r="D12" i="2"/>
  <c r="C12" i="2"/>
  <c r="C11" i="2"/>
  <c r="E10" i="2"/>
  <c r="D10" i="2"/>
  <c r="C10" i="2"/>
  <c r="G7" i="2"/>
  <c r="G14" i="2" s="1"/>
  <c r="F7" i="2"/>
  <c r="E7" i="2"/>
  <c r="D7" i="2"/>
  <c r="D6" i="2"/>
  <c r="D13" i="2" s="1"/>
  <c r="G5" i="2"/>
  <c r="G12" i="2" s="1"/>
  <c r="F5" i="2"/>
  <c r="E5" i="2"/>
  <c r="D5" i="2"/>
  <c r="D4" i="2"/>
  <c r="D11" i="2" s="1"/>
  <c r="G3" i="2"/>
  <c r="F3" i="2"/>
  <c r="E3" i="2"/>
  <c r="D3" i="2"/>
  <c r="D16" i="2" s="1"/>
  <c r="D17" i="2" l="1"/>
  <c r="D18" i="2"/>
  <c r="H3" i="2"/>
  <c r="E4" i="2"/>
  <c r="E6" i="2"/>
  <c r="E16" i="2"/>
  <c r="D20" i="2"/>
  <c r="H7" i="2"/>
  <c r="F10" i="2"/>
  <c r="G10" i="2"/>
  <c r="H5" i="2"/>
  <c r="D19" i="2"/>
  <c r="H10" i="2" l="1"/>
  <c r="I3" i="2"/>
  <c r="H14" i="2"/>
  <c r="I7" i="2"/>
  <c r="E17" i="2"/>
  <c r="E18" i="2"/>
  <c r="H12" i="2"/>
  <c r="I5" i="2"/>
  <c r="E13" i="2"/>
  <c r="F6" i="2"/>
  <c r="E20" i="2"/>
  <c r="E11" i="2"/>
  <c r="F4" i="2"/>
  <c r="E19" i="2"/>
  <c r="I12" i="2" l="1"/>
  <c r="J5" i="2"/>
  <c r="I14" i="2"/>
  <c r="J7" i="2"/>
  <c r="F13" i="2"/>
  <c r="G6" i="2"/>
  <c r="J3" i="2"/>
  <c r="I10" i="2"/>
  <c r="G4" i="2"/>
  <c r="F11" i="2"/>
  <c r="F20" i="2"/>
  <c r="F19" i="2"/>
  <c r="F16" i="2"/>
  <c r="K3" i="2" l="1"/>
  <c r="J10" i="2"/>
  <c r="F17" i="2"/>
  <c r="F18" i="2"/>
  <c r="J14" i="2"/>
  <c r="K7" i="2"/>
  <c r="H6" i="2"/>
  <c r="G13" i="2"/>
  <c r="J12" i="2"/>
  <c r="K5" i="2"/>
  <c r="H4" i="2"/>
  <c r="G20" i="2"/>
  <c r="G11" i="2"/>
  <c r="G19" i="2"/>
  <c r="G16" i="2"/>
  <c r="K14" i="2" l="1"/>
  <c r="L7" i="2"/>
  <c r="I6" i="2"/>
  <c r="H13" i="2"/>
  <c r="L5" i="2"/>
  <c r="K12" i="2"/>
  <c r="G17" i="2"/>
  <c r="G18" i="2"/>
  <c r="I4" i="2"/>
  <c r="H20" i="2"/>
  <c r="H11" i="2"/>
  <c r="H19" i="2"/>
  <c r="H16" i="2"/>
  <c r="L3" i="2"/>
  <c r="K10" i="2"/>
  <c r="M5" i="2" l="1"/>
  <c r="L12" i="2"/>
  <c r="I11" i="2"/>
  <c r="I20" i="2"/>
  <c r="J4" i="2"/>
  <c r="I16" i="2"/>
  <c r="I19" i="2"/>
  <c r="M3" i="2"/>
  <c r="L10" i="2"/>
  <c r="H17" i="2"/>
  <c r="H18" i="2"/>
  <c r="J6" i="2"/>
  <c r="I13" i="2"/>
  <c r="L14" i="2"/>
  <c r="M7" i="2"/>
  <c r="N3" i="2" l="1"/>
  <c r="M10" i="2"/>
  <c r="N7" i="2"/>
  <c r="M14" i="2"/>
  <c r="I17" i="2"/>
  <c r="I18" i="2"/>
  <c r="J20" i="2"/>
  <c r="K4" i="2"/>
  <c r="J11" i="2"/>
  <c r="J19" i="2"/>
  <c r="J16" i="2"/>
  <c r="J13" i="2"/>
  <c r="K6" i="2"/>
  <c r="N5" i="2"/>
  <c r="M12" i="2"/>
  <c r="K20" i="2" l="1"/>
  <c r="K11" i="2"/>
  <c r="L4" i="2"/>
  <c r="K16" i="2"/>
  <c r="K19" i="2"/>
  <c r="O5" i="2"/>
  <c r="N12" i="2"/>
  <c r="K13" i="2"/>
  <c r="L6" i="2"/>
  <c r="N14" i="2"/>
  <c r="O7" i="2"/>
  <c r="J18" i="2"/>
  <c r="J17" i="2"/>
  <c r="N10" i="2"/>
  <c r="O3" i="2"/>
  <c r="M6" i="2" l="1"/>
  <c r="L13" i="2"/>
  <c r="O12" i="2"/>
  <c r="P5" i="2"/>
  <c r="O10" i="2"/>
  <c r="P3" i="2"/>
  <c r="K18" i="2"/>
  <c r="K17" i="2"/>
  <c r="L11" i="2"/>
  <c r="M4" i="2"/>
  <c r="L20" i="2"/>
  <c r="L19" i="2"/>
  <c r="L16" i="2"/>
  <c r="P7" i="2"/>
  <c r="O14" i="2"/>
  <c r="Q3" i="2" l="1"/>
  <c r="P10" i="2"/>
  <c r="P14" i="2"/>
  <c r="Q7" i="2"/>
  <c r="R7" i="2" s="1"/>
  <c r="L18" i="2"/>
  <c r="L17" i="2"/>
  <c r="Q5" i="2"/>
  <c r="R5" i="2" s="1"/>
  <c r="P12" i="2"/>
  <c r="N4" i="2"/>
  <c r="M11" i="2"/>
  <c r="M20" i="2"/>
  <c r="M16" i="2"/>
  <c r="M19" i="2"/>
  <c r="N6" i="2"/>
  <c r="M13" i="2"/>
  <c r="N13" i="2" l="1"/>
  <c r="O6" i="2"/>
  <c r="M18" i="2"/>
  <c r="M17" i="2"/>
  <c r="R3" i="2"/>
  <c r="N11" i="2"/>
  <c r="O4" i="2"/>
  <c r="N20" i="2"/>
  <c r="N19" i="2"/>
  <c r="N16" i="2"/>
  <c r="P4" i="2" l="1"/>
  <c r="O20" i="2"/>
  <c r="O11" i="2"/>
  <c r="O19" i="2"/>
  <c r="O16" i="2"/>
  <c r="N17" i="2"/>
  <c r="N18" i="2"/>
  <c r="P6" i="2"/>
  <c r="O13" i="2"/>
  <c r="P13" i="2" l="1"/>
  <c r="Q6" i="2"/>
  <c r="R6" i="2" s="1"/>
  <c r="O17" i="2"/>
  <c r="O18" i="2"/>
  <c r="P20" i="2"/>
  <c r="Q4" i="2"/>
  <c r="P11" i="2"/>
  <c r="P19" i="2"/>
  <c r="P16" i="2"/>
  <c r="P17" i="2" l="1"/>
  <c r="P18" i="2"/>
  <c r="R4" i="2"/>
  <c r="Q20" i="2"/>
  <c r="Q19" i="2"/>
  <c r="Q16" i="2"/>
  <c r="Q17" i="2" l="1"/>
  <c r="Q18" i="2"/>
  <c r="R20" i="2"/>
  <c r="R16" i="2"/>
  <c r="R19" i="2"/>
  <c r="R17" i="2" l="1"/>
  <c r="R18" i="2"/>
</calcChain>
</file>

<file path=xl/sharedStrings.xml><?xml version="1.0" encoding="utf-8"?>
<sst xmlns="http://schemas.openxmlformats.org/spreadsheetml/2006/main" count="566" uniqueCount="316">
  <si>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</si>
  <si>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</si>
  <si>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</si>
  <si>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</si>
  <si>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</si>
  <si>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</si>
  <si>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</si>
  <si>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</si>
  <si>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</si>
  <si>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</si>
  <si>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</si>
  <si>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</si>
  <si>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</si>
  <si>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</si>
  <si>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</si>
  <si>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</si>
  <si>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</si>
  <si>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</si>
  <si>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</si>
  <si>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</si>
  <si>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</si>
  <si>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</si>
  <si>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</si>
  <si>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</si>
  <si>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</si>
  <si>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</si>
  <si>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</si>
  <si>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</si>
  <si>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</si>
  <si>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</si>
  <si>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</si>
  <si>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</si>
  <si>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</si>
  <si>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</si>
  <si>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</si>
  <si>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</si>
  <si>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</si>
  <si>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</si>
  <si>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</si>
  <si>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</si>
  <si>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</si>
  <si>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</si>
  <si>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</si>
  <si>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</si>
  <si>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</si>
  <si>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</si>
  <si>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</si>
  <si>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</si>
  <si>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</si>
  <si>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</si>
  <si>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</si>
  <si>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</si>
  <si>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</si>
  <si>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</si>
  <si>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</si>
  <si>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</si>
  <si>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</si>
  <si>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</si>
  <si>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</si>
  <si>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</si>
  <si>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</si>
  <si>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</si>
  <si>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</si>
  <si>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</si>
  <si>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</si>
  <si>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</si>
  <si>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</si>
  <si>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</si>
  <si>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</si>
  <si>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</si>
  <si>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</si>
  <si>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</si>
  <si>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</si>
  <si>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</si>
  <si>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</si>
  <si>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</si>
  <si>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</si>
  <si>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</si>
  <si>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</si>
  <si>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</si>
  <si>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</si>
  <si>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</si>
  <si>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</si>
  <si>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</si>
  <si>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</si>
  <si>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</si>
  <si>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</si>
  <si>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</si>
  <si>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</si>
  <si>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</si>
  <si>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</si>
  <si>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</si>
  <si>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</si>
  <si>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</si>
  <si>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</si>
  <si>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</si>
  <si>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</si>
  <si>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</si>
  <si>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</si>
  <si>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</si>
  <si>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</si>
  <si>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</si>
  <si>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</si>
  <si>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</si>
  <si>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</si>
  <si>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</si>
  <si>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</si>
  <si>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</si>
  <si>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</si>
  <si>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</si>
  <si>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</si>
  <si>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</si>
  <si>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</si>
  <si>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</si>
  <si>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</si>
  <si>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</si>
  <si>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</si>
  <si>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</si>
  <si>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</si>
  <si>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</si>
  <si>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</si>
  <si>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</si>
  <si>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</si>
  <si>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</si>
  <si>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</si>
  <si>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</si>
  <si>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</si>
  <si>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</si>
  <si>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</si>
  <si>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</si>
  <si>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</si>
  <si>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</si>
  <si>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</si>
  <si>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</si>
  <si>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</si>
  <si>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</si>
  <si>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</si>
  <si>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</si>
  <si>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</si>
  <si>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</si>
  <si>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</si>
  <si>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</si>
  <si>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</si>
  <si>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</si>
  <si>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</si>
  <si>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</si>
  <si>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</si>
  <si>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</si>
  <si>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</si>
  <si>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</si>
  <si>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</si>
  <si>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</si>
  <si>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</si>
  <si>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</si>
  <si>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</si>
  <si>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</si>
  <si>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</si>
  <si>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</si>
  <si>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</si>
  <si>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</si>
  <si>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</si>
  <si>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</si>
  <si>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</si>
  <si>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</si>
  <si>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</si>
  <si>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</si>
  <si>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</si>
  <si>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</si>
  <si>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</si>
  <si>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</si>
  <si>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</si>
  <si>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</si>
  <si>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</si>
  <si>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</si>
  <si>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</si>
  <si>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</si>
  <si>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</si>
  <si>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</si>
  <si>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</si>
  <si>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</si>
  <si>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</si>
  <si>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</si>
  <si>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</si>
  <si>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</si>
  <si>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</si>
  <si>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</si>
  <si>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</si>
  <si>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</si>
  <si>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</si>
  <si>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</si>
  <si>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</si>
  <si>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</si>
  <si>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</si>
  <si>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</si>
  <si>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</si>
  <si>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</si>
  <si>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</si>
  <si>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</si>
  <si>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</si>
  <si>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</si>
  <si>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</si>
  <si>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</si>
  <si>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</si>
  <si>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</si>
  <si>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</si>
  <si>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</si>
  <si>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</si>
  <si>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</si>
  <si>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</si>
  <si>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</si>
  <si>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</si>
  <si>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</si>
  <si>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</si>
  <si>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</si>
  <si>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</si>
  <si>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</si>
  <si>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</si>
  <si>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</si>
  <si>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</si>
  <si>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</si>
  <si>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</si>
  <si>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</si>
  <si>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</si>
  <si>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</si>
  <si>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</si>
  <si>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</si>
  <si>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</si>
  <si>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</si>
  <si>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</si>
  <si>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</si>
  <si>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</si>
  <si>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</si>
  <si>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</si>
  <si>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</si>
  <si>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</si>
  <si>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</si>
  <si>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</si>
  <si>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</si>
  <si>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</si>
  <si>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</si>
  <si>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</si>
  <si>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</si>
  <si>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</si>
  <si>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</si>
  <si>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</si>
  <si>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</si>
  <si>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</si>
  <si>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</si>
  <si>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</si>
  <si>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</si>
  <si>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</si>
  <si>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</si>
  <si>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</si>
  <si>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</si>
  <si>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</si>
  <si>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</si>
  <si>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</si>
  <si>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</si>
  <si>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</si>
  <si>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</si>
  <si>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</si>
  <si>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</si>
  <si>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</si>
  <si>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</si>
  <si>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</si>
  <si>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</si>
  <si>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</si>
  <si>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</si>
  <si>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</si>
  <si>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</si>
  <si>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</si>
  <si>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</si>
  <si>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</si>
  <si>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</si>
  <si>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</si>
  <si>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</si>
  <si>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</si>
  <si>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</si>
  <si>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</si>
  <si>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</si>
  <si>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</si>
  <si>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Property</t>
  </si>
  <si>
    <t>330 Painted Woods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</si>
  <si>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</si>
  <si>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</si>
  <si>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</si>
  <si>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</si>
  <si>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</si>
  <si>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</si>
  <si>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</si>
  <si>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</si>
  <si>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</si>
  <si>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</si>
  <si>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</si>
  <si>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</si>
  <si>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</si>
  <si>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</si>
  <si>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</si>
  <si>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Jack</t>
  </si>
  <si>
    <t>Lila</t>
  </si>
  <si>
    <t>Etta</t>
  </si>
  <si>
    <t>Trust</t>
  </si>
  <si>
    <t>Custodial (UTMA/UGMA)</t>
  </si>
  <si>
    <t>Traditional IRA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</si>
  <si>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</si>
  <si>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</si>
  <si>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</si>
  <si>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</si>
  <si>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</si>
  <si>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</si>
  <si>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</si>
  <si>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</si>
  <si>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ESA</t>
  </si>
  <si>
    <t>Coverdell</t>
  </si>
  <si>
    <t>RSU</t>
  </si>
  <si>
    <t>Account Type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</si>
</sst>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&quot;$&quot;* #,##0_);_(&quot;$&quot;* \(#,##0\);_(&quot;$&quot;* &quot;-&quot;??_);_(@_)"/>
    <numFmt numFmtId="165" formatCode="m/d/yy;@"/>
    <numFmt numFmtId="166" formatCode="\$#,##0.00"/>
    <numFmt numFmtId="167" formatCode="\(\$#,##0.00\);\(\$#,##0.00\)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3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48118533890809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3">
    <xf numFmtId="0" fontId="0" fillId="0" borderId="0"/>
    <xf numFmtId="0" fontId="2" fillId="2" borderId="0"/>
    <xf numFmtId="0" fontId="1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4" fillId="0" borderId="0" xfId="0" applyNumberFormat="1" applyFont="1"/>
    <xf numFmtId="0" fontId="5" fillId="0" borderId="0" xfId="0" applyFont="1" applyAlignment="1">
      <alignment horizontal="left" indent="1"/>
    </xf>
    <xf numFmtId="164" fontId="5" fillId="0" borderId="0" xfId="0" applyNumberFormat="1" applyFont="1" applyAlignment="1">
      <alignment horizontal="left" indent="1"/>
    </xf>
    <xf numFmtId="0" fontId="6" fillId="0" borderId="0" xfId="0" applyFont="1"/>
    <xf numFmtId="164" fontId="6" fillId="0" borderId="0" xfId="0" applyNumberFormat="1" applyFont="1"/>
    <xf numFmtId="9" fontId="0" fillId="0" borderId="0" xfId="0" applyNumberFormat="1"/>
    <xf numFmtId="0" fontId="7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left"/>
    </xf>
    <xf numFmtId="14" fontId="9" fillId="0" borderId="0" xfId="0" applyNumberFormat="1" applyFont="1" applyAlignment="1">
      <alignment horizontal="center" vertical="center"/>
    </xf>
    <xf numFmtId="14" fontId="9" fillId="0" borderId="0" xfId="0" applyNumberFormat="1" applyFont="1"/>
    <xf numFmtId="8" fontId="9" fillId="0" borderId="0" xfId="0" applyNumberFormat="1" applyFont="1"/>
    <xf numFmtId="165" fontId="9" fillId="0" borderId="0" xfId="0" applyNumberFormat="1" applyFont="1"/>
    <xf numFmtId="14" fontId="8" fillId="0" borderId="0" xfId="0" applyNumberFormat="1" applyFont="1"/>
    <xf numFmtId="9" fontId="9" fillId="0" borderId="0" xfId="0" applyNumberFormat="1" applyFont="1"/>
    <xf numFmtId="0" fontId="8" fillId="0" borderId="5" xfId="0" applyFont="1" applyBorder="1" applyAlignment="1">
      <alignment wrapText="1"/>
    </xf>
    <xf numFmtId="0" fontId="9" fillId="0" borderId="6" xfId="0" applyFont="1" applyBorder="1"/>
    <xf numFmtId="0" fontId="0" fillId="0" borderId="6" xfId="0" applyBorder="1"/>
    <xf numFmtId="0" fontId="9" fillId="0" borderId="6" xfId="0" applyFont="1" applyBorder="1" applyAlignment="1">
      <alignment horizontal="left" vertical="center"/>
    </xf>
    <xf numFmtId="0" fontId="9" fillId="0" borderId="7" xfId="0" applyFont="1" applyBorder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13" fillId="0" borderId="0" xfId="0" applyFont="1"/>
    <xf numFmtId="0" fontId="8" fillId="0" borderId="1" xfId="1" applyFont="1" applyFill="1" applyBorder="1" applyAlignment="1">
      <alignment wrapText="1"/>
    </xf>
    <xf numFmtId="0" fontId="8" fillId="0" borderId="2" xfId="1" applyFont="1" applyFill="1" applyBorder="1" applyAlignment="1">
      <alignment wrapText="1"/>
    </xf>
    <xf numFmtId="0" fontId="1" fillId="0" borderId="0" xfId="2"/>
    <xf numFmtId="0" fontId="9" fillId="0" borderId="3" xfId="1" applyFont="1" applyFill="1" applyBorder="1"/>
    <xf numFmtId="0" fontId="9" fillId="0" borderId="0" xfId="1" applyFont="1" applyFill="1"/>
    <xf numFmtId="0" fontId="9" fillId="0" borderId="4" xfId="1" applyFont="1" applyFill="1" applyBorder="1"/>
  </cellXfs>
  <cellStyles count="3">
    <cellStyle name="Normal" xfId="0" builtinId="0"/>
    <cellStyle name="Normal 2" xfId="1" xr:uid="{10CC939A-9C43-5A47-9CD6-66EBEC4B354C}"/>
    <cellStyle name="Normal 3" xfId="2" xr:uid="{EB8C820B-5C71-B145-A78B-69D5C661F67B}"/>
  </cellStyles>
  <dxfs count="9"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border outline="0">
        <bottom style="thin">
          <color theme="6" tint="0.39997558519241921"/>
        </bottom>
      </border>
    </dxf>
    <dxf>
      <border outline="0">
        <left style="thin">
          <color theme="6" tint="0.39997558519241921"/>
        </left>
        <top style="thin">
          <color theme="6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417DED-0198-6143-B962-A0F5AD48A263}" name="Table3" displayName="Table3" ref="B2:C18" totalsRowShown="0" dataDxfId="8">
  <autoFilter ref="B2:C18" xr:uid="{EE18B4AB-3C31-074B-A1AF-5770971F7EB4}"/>
  <tableColumns count="2">
    <tableColumn id="1" xr3:uid="{6C8268AC-5A43-7348-9E49-D23B2435E709}" name="Account Type" dataDxfId="7"/>
    <tableColumn id="2" xr3:uid="{D8D4C27C-BFF3-F042-8978-1BA496608353}" name="Account Type Group" dataDxfId="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7E2D6C-8E1C-F24C-83A8-9E87B40A4569}" name="Table25" displayName="Table25" ref="B2:D5" totalsRowShown="0" headerRowDxfId="5" headerRowBorderDxfId="3" tableBorderDxfId="4" headerRowCellStyle="Normal 2">
  <autoFilter ref="B2:D5" xr:uid="{0D7E2D6C-8E1C-F24C-83A8-9E87B40A4569}"/>
  <sortState xmlns:xlrd2="http://schemas.microsoft.com/office/spreadsheetml/2017/richdata2" ref="B3:D18">
    <sortCondition ref="B2:B18"/>
  </sortState>
  <tableColumns count="3">
    <tableColumn id="1" xr3:uid="{72977136-617E-3D4C-816B-64DF4BBF921D}" name="Account" dataDxfId="2" dataCellStyle="Normal 2"/>
    <tableColumn id="3" xr3:uid="{338E490B-1E56-0F49-A92F-12E01D9C90B5}" name="Account Type2" dataDxfId="1" dataCellStyle="Normal 2"/>
    <tableColumn id="2" xr3:uid="{016074AD-D643-FD4C-9370-CFB89011C724}" name="Owner" dataDxfId="0" dataCellStyle="Normal 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6" displayName="Table36" ref="B2:C123" headerRowCount="0">
  <tableColumns count="2">
    <tableColumn id="1" xr3:uid="{00000000-0010-0000-0200-000001000000}" name="Symbol"/>
    <tableColumn id="2" xr3:uid="{00000000-0010-0000-02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9092A-223E-9041-81FE-731F9A326330}">
  <sheetPr>
    <tabColor theme="8"/>
  </sheetPr>
  <dimension ref="B2:C18"/>
  <sheetViews>
    <sheetView workbookViewId="0">
      <selection activeCell="B3" sqref="B3"/>
    </sheetView>
  </sheetViews>
  <sheetFormatPr baseColWidth="10" defaultRowHeight="15" x14ac:dyDescent="0.2"/>
  <cols>
    <col min="2" max="2" width="25.83203125" bestFit="1" customWidth="1"/>
    <col min="3" max="3" width="19.6640625" customWidth="1"/>
  </cols>
  <sheetData>
    <row r="2" spans="2:3" x14ac:dyDescent="0.2">
      <c r="B2" t="s">
        <v>20</v>
      </c>
      <c r="C2" t="s">
        <v>315</v>
      </c>
    </row>
    <row r="3" spans="2:3" ht="17" x14ac:dyDescent="0.2">
      <c r="B3" s="38" t="s">
        <v>3</v>
      </c>
      <c r="C3" s="38" t="s">
        <v>3</v>
      </c>
    </row>
    <row r="4" spans="2:3" ht="17" x14ac:dyDescent="0.2">
      <c r="B4" s="38" t="s">
        <v>301</v>
      </c>
      <c r="C4" s="38" t="s">
        <v>3</v>
      </c>
    </row>
    <row r="5" spans="2:3" ht="17" x14ac:dyDescent="0.2">
      <c r="B5" s="38" t="s">
        <v>302</v>
      </c>
      <c r="C5" s="38" t="s">
        <v>3</v>
      </c>
    </row>
    <row r="6" spans="2:3" ht="17" x14ac:dyDescent="0.2">
      <c r="B6" s="38" t="s">
        <v>303</v>
      </c>
      <c r="C6" s="38" t="s">
        <v>5</v>
      </c>
    </row>
    <row r="7" spans="2:3" ht="17" x14ac:dyDescent="0.2">
      <c r="B7" s="38" t="s">
        <v>304</v>
      </c>
      <c r="C7" s="38" t="s">
        <v>5</v>
      </c>
    </row>
    <row r="8" spans="2:3" ht="17" x14ac:dyDescent="0.2">
      <c r="B8" s="38" t="s">
        <v>305</v>
      </c>
      <c r="C8" s="38" t="s">
        <v>5</v>
      </c>
    </row>
    <row r="9" spans="2:3" ht="17" x14ac:dyDescent="0.2">
      <c r="B9" s="38" t="s">
        <v>306</v>
      </c>
      <c r="C9" s="38" t="s">
        <v>5</v>
      </c>
    </row>
    <row r="10" spans="2:3" ht="17" x14ac:dyDescent="0.2">
      <c r="B10" s="38" t="s">
        <v>307</v>
      </c>
      <c r="C10" s="38" t="s">
        <v>5</v>
      </c>
    </row>
    <row r="11" spans="2:3" ht="17" x14ac:dyDescent="0.2">
      <c r="B11" s="38" t="s">
        <v>308</v>
      </c>
      <c r="C11" s="38" t="s">
        <v>5</v>
      </c>
    </row>
    <row r="12" spans="2:3" ht="17" x14ac:dyDescent="0.2">
      <c r="B12" s="38" t="s">
        <v>309</v>
      </c>
      <c r="C12" s="38" t="s">
        <v>5</v>
      </c>
    </row>
    <row r="13" spans="2:3" ht="17" x14ac:dyDescent="0.2">
      <c r="B13" s="38" t="s">
        <v>310</v>
      </c>
      <c r="C13" s="38" t="s">
        <v>5</v>
      </c>
    </row>
    <row r="14" spans="2:3" ht="17" x14ac:dyDescent="0.2">
      <c r="B14" s="38" t="s">
        <v>311</v>
      </c>
      <c r="C14" s="38" t="s">
        <v>5</v>
      </c>
    </row>
    <row r="15" spans="2:3" ht="17" x14ac:dyDescent="0.2">
      <c r="B15" s="38" t="s">
        <v>46</v>
      </c>
      <c r="C15" s="38" t="s">
        <v>46</v>
      </c>
    </row>
    <row r="16" spans="2:3" ht="17" x14ac:dyDescent="0.2">
      <c r="B16" s="38">
        <v>529</v>
      </c>
      <c r="C16" s="38" t="s">
        <v>312</v>
      </c>
    </row>
    <row r="17" spans="2:3" ht="17" x14ac:dyDescent="0.2">
      <c r="B17" s="38" t="s">
        <v>313</v>
      </c>
      <c r="C17" s="38" t="s">
        <v>312</v>
      </c>
    </row>
    <row r="18" spans="2:3" ht="17" x14ac:dyDescent="0.2">
      <c r="B18" s="38" t="s">
        <v>314</v>
      </c>
      <c r="C18" s="38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2:D18"/>
  <sheetViews>
    <sheetView tabSelected="1" zoomScaleNormal="100" workbookViewId="0">
      <selection activeCell="C13" sqref="C13"/>
    </sheetView>
  </sheetViews>
  <sheetFormatPr baseColWidth="10" defaultRowHeight="16" customHeight="1" x14ac:dyDescent="0.2"/>
  <cols>
    <col min="1" max="1" width="10.83203125" style="41"/>
    <col min="2" max="3" width="14.6640625" style="41" customWidth="1"/>
    <col min="4" max="16384" width="10.83203125" style="41"/>
  </cols>
  <sheetData>
    <row r="2" spans="2:4" x14ac:dyDescent="0.2">
      <c r="B2" s="39" t="s">
        <v>19</v>
      </c>
      <c r="C2" s="39" t="s">
        <v>43</v>
      </c>
      <c r="D2" s="40" t="s">
        <v>21</v>
      </c>
    </row>
    <row r="3" spans="2:4" x14ac:dyDescent="0.2">
      <c r="B3" s="42" t="s">
        <v>34</v>
      </c>
      <c r="C3" s="43" t="s">
        <v>3</v>
      </c>
      <c r="D3" s="41" t="s">
        <v>44</v>
      </c>
    </row>
    <row r="4" spans="2:4" x14ac:dyDescent="0.2">
      <c r="B4" s="42" t="s">
        <v>38</v>
      </c>
      <c r="C4" s="43" t="s">
        <v>304</v>
      </c>
      <c r="D4" s="41" t="s">
        <v>45</v>
      </c>
    </row>
    <row r="5" spans="2:4" x14ac:dyDescent="0.2">
      <c r="B5" s="42" t="s">
        <v>41</v>
      </c>
      <c r="C5" s="43" t="s">
        <v>46</v>
      </c>
      <c r="D5" s="41" t="s">
        <v>47</v>
      </c>
    </row>
    <row r="6" spans="2:4" x14ac:dyDescent="0.2">
      <c r="B6" s="42"/>
      <c r="C6" s="43"/>
    </row>
    <row r="7" spans="2:4" x14ac:dyDescent="0.2">
      <c r="B7" s="42"/>
      <c r="C7" s="43"/>
    </row>
    <row r="8" spans="2:4" x14ac:dyDescent="0.2">
      <c r="B8" s="42"/>
      <c r="C8" s="43"/>
    </row>
    <row r="9" spans="2:4" x14ac:dyDescent="0.2">
      <c r="B9" s="42"/>
      <c r="C9" s="43"/>
    </row>
    <row r="10" spans="2:4" x14ac:dyDescent="0.2">
      <c r="B10" s="42"/>
      <c r="C10" s="43"/>
    </row>
    <row r="11" spans="2:4" x14ac:dyDescent="0.2">
      <c r="B11" s="42"/>
      <c r="C11" s="43"/>
    </row>
    <row r="12" spans="2:4" x14ac:dyDescent="0.2">
      <c r="B12" s="42"/>
      <c r="C12" s="43"/>
    </row>
    <row r="13" spans="2:4" x14ac:dyDescent="0.2">
      <c r="B13" s="42"/>
      <c r="C13" s="43"/>
    </row>
    <row r="14" spans="2:4" x14ac:dyDescent="0.2">
      <c r="B14" s="42"/>
      <c r="C14" s="43"/>
    </row>
    <row r="15" spans="2:4" x14ac:dyDescent="0.2">
      <c r="B15" s="44"/>
      <c r="C15" s="43"/>
    </row>
    <row r="16" spans="2:4" x14ac:dyDescent="0.2">
      <c r="B16" s="44"/>
      <c r="C16" s="43"/>
    </row>
    <row r="17" spans="2:3" x14ac:dyDescent="0.2">
      <c r="B17" s="44"/>
      <c r="C17" s="43"/>
    </row>
    <row r="18" spans="2:3" x14ac:dyDescent="0.2">
      <c r="B18" s="44"/>
      <c r="C18" s="4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M21"/>
  <sheetViews>
    <sheetView zoomScale="125" zoomScaleNormal="100" workbookViewId="0">
      <pane xSplit="1" ySplit="2" topLeftCell="C3" activePane="bottomRight" state="frozen"/>
      <selection pane="topRight"/>
      <selection pane="bottomLeft"/>
      <selection pane="bottomRight" activeCell="C9" sqref="C9"/>
    </sheetView>
  </sheetViews>
  <sheetFormatPr baseColWidth="10" defaultColWidth="10.83203125" defaultRowHeight="14" customHeight="1" x14ac:dyDescent="0.2"/>
  <cols>
    <col min="1" max="1" width="10.83203125" style="1" customWidth="1"/>
    <col min="2" max="2" width="19.6640625" style="1" customWidth="1"/>
    <col min="3" max="18" width="11.5" style="1" customWidth="1"/>
    <col min="19" max="19" width="10.83203125" style="1" customWidth="1"/>
    <col min="20" max="16384" width="10.83203125" style="1"/>
  </cols>
  <sheetData>
    <row r="1" spans="1:39" x14ac:dyDescent="0.2">
      <c r="A1" s="2" t="s">
        <v>0</v>
      </c>
    </row>
    <row r="2" spans="1:39" x14ac:dyDescent="0.2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1:39" x14ac:dyDescent="0.2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f t="shared" si="0"/>
        <v>-275000</v>
      </c>
      <c r="N3" s="4">
        <f t="shared" si="0"/>
        <v>-272500</v>
      </c>
      <c r="O3" s="4">
        <f t="shared" si="0"/>
        <v>-270000</v>
      </c>
      <c r="P3" s="4">
        <f t="shared" si="0"/>
        <v>-267500</v>
      </c>
      <c r="Q3" s="4">
        <f t="shared" si="0"/>
        <v>-265000</v>
      </c>
      <c r="R3" s="4">
        <f t="shared" si="0"/>
        <v>-262500</v>
      </c>
    </row>
    <row r="4" spans="1:39" x14ac:dyDescent="0.2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53076.007530050003</v>
      </c>
      <c r="J4" s="4">
        <f t="shared" si="1"/>
        <v>53606.767605350506</v>
      </c>
      <c r="K4" s="4">
        <f t="shared" si="1"/>
        <v>54142.835281404012</v>
      </c>
      <c r="L4" s="4">
        <f t="shared" si="1"/>
        <v>54684.263634218056</v>
      </c>
      <c r="M4" s="4">
        <f t="shared" si="1"/>
        <v>55231.106270560238</v>
      </c>
      <c r="N4" s="4">
        <f t="shared" si="1"/>
        <v>55783.417333265839</v>
      </c>
      <c r="O4" s="4">
        <f t="shared" si="1"/>
        <v>56341.251506598499</v>
      </c>
      <c r="P4" s="4">
        <f t="shared" si="1"/>
        <v>56904.664021664481</v>
      </c>
      <c r="Q4" s="4">
        <f t="shared" si="1"/>
        <v>57473.710661881123</v>
      </c>
      <c r="R4" s="4">
        <f t="shared" si="1"/>
        <v>58048.447768499937</v>
      </c>
    </row>
    <row r="5" spans="1:39" x14ac:dyDescent="0.2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112550.88099999999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1:39" x14ac:dyDescent="0.2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1:39" x14ac:dyDescent="0.2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262752.51252500003</v>
      </c>
      <c r="I7" s="4">
        <f t="shared" si="4"/>
        <v>265380.03765025001</v>
      </c>
      <c r="J7" s="4">
        <f t="shared" si="4"/>
        <v>268033.83802675252</v>
      </c>
      <c r="K7" s="4">
        <f t="shared" si="4"/>
        <v>270714.17640702007</v>
      </c>
      <c r="L7" s="4">
        <f t="shared" si="4"/>
        <v>273421.31817109027</v>
      </c>
      <c r="M7" s="4">
        <f t="shared" si="4"/>
        <v>276155.53135280119</v>
      </c>
      <c r="N7" s="4">
        <f t="shared" si="4"/>
        <v>278917.08666632918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287368.55330940557</v>
      </c>
      <c r="R7" s="4">
        <f t="shared" si="4"/>
        <v>290242.23884249962</v>
      </c>
    </row>
    <row r="8" spans="1:39" x14ac:dyDescent="0.2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1:39" x14ac:dyDescent="0.2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spans="1:39" hidden="1" x14ac:dyDescent="0.2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-30000</v>
      </c>
      <c r="P10" s="7">
        <f t="shared" si="5"/>
        <v>-30000</v>
      </c>
      <c r="Q10" s="7"/>
      <c r="R10" s="7"/>
    </row>
    <row r="11" spans="1:39" hidden="1" x14ac:dyDescent="0.2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spans="1:39" hidden="1" x14ac:dyDescent="0.2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spans="1:39" hidden="1" x14ac:dyDescent="0.2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spans="1:39" hidden="1" x14ac:dyDescent="0.2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31706.257532992458</v>
      </c>
      <c r="P14" s="7">
        <f t="shared" si="6"/>
        <v>32023.320108322368</v>
      </c>
      <c r="Q14" s="7"/>
      <c r="R14" s="7"/>
    </row>
    <row r="15" spans="1:39" hidden="1" x14ac:dyDescent="0.2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1:39" x14ac:dyDescent="0.2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644732.08400000003</v>
      </c>
      <c r="H16" s="9">
        <f t="shared" si="9"/>
        <v>653730.42246000003</v>
      </c>
      <c r="I16" s="9">
        <f t="shared" si="9"/>
        <v>662861.27483320003</v>
      </c>
      <c r="J16" s="9">
        <f t="shared" si="9"/>
        <v>672127.99217459001</v>
      </c>
      <c r="K16" s="9">
        <f t="shared" si="9"/>
        <v>681534.01982718566</v>
      </c>
      <c r="L16" s="9">
        <f t="shared" si="9"/>
        <v>691082.90018823277</v>
      </c>
      <c r="M16" s="9">
        <f t="shared" si="9"/>
        <v>700778.27555777365</v>
      </c>
      <c r="N16" s="9">
        <f t="shared" si="9"/>
        <v>710623.89107203961</v>
      </c>
      <c r="O16" s="9">
        <f t="shared" si="9"/>
        <v>720623.59772420884</v>
      </c>
      <c r="P16" s="9">
        <f t="shared" si="9"/>
        <v>730781.3554751433</v>
      </c>
      <c r="Q16" s="9">
        <f t="shared" si="9"/>
        <v>741101.23645679792</v>
      </c>
      <c r="R16" s="9">
        <f t="shared" si="9"/>
        <v>751587.42827107606</v>
      </c>
    </row>
    <row r="17" spans="2:18" hidden="1" x14ac:dyDescent="0.2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110623.59772420884</v>
      </c>
      <c r="P17" s="9">
        <f t="shared" si="10"/>
        <v>112281.3554751433</v>
      </c>
      <c r="Q17" s="9">
        <f t="shared" si="10"/>
        <v>113981.23645679792</v>
      </c>
      <c r="R17" s="9">
        <f t="shared" si="10"/>
        <v>115724.42827107606</v>
      </c>
    </row>
    <row r="18" spans="2:18" ht="15" customHeight="1" x14ac:dyDescent="0.2">
      <c r="B18" s="8" t="s">
        <v>16</v>
      </c>
      <c r="C18" s="10"/>
      <c r="D18" s="10">
        <f t="shared" ref="D18:R18" si="11">(D16-C16)/D16</f>
        <v>1.3742926434923201E-2</v>
      </c>
      <c r="E18" s="10">
        <f t="shared" si="11"/>
        <v>1.3745375685674193E-2</v>
      </c>
      <c r="F18" s="10">
        <f t="shared" si="11"/>
        <v>1.3749817177599577E-2</v>
      </c>
      <c r="G18" s="10">
        <f t="shared" si="11"/>
        <v>1.3756231805582102E-2</v>
      </c>
      <c r="H18" s="10">
        <f t="shared" si="11"/>
        <v>1.3764601050902726E-2</v>
      </c>
      <c r="I18" s="10">
        <f t="shared" si="11"/>
        <v>1.3774906937349231E-2</v>
      </c>
      <c r="J18" s="10">
        <f t="shared" si="11"/>
        <v>1.3787131988668726E-2</v>
      </c>
      <c r="K18" s="10">
        <f t="shared" si="11"/>
        <v>1.3801259187297375E-2</v>
      </c>
      <c r="L18" s="10">
        <f t="shared" si="11"/>
        <v>1.3817271934302301E-2</v>
      </c>
      <c r="M18" s="10">
        <f t="shared" si="11"/>
        <v>1.38351540104807E-2</v>
      </c>
      <c r="N18" s="10">
        <f t="shared" si="11"/>
        <v>1.3854889538561623E-2</v>
      </c>
      <c r="O18" s="10">
        <f t="shared" si="11"/>
        <v>1.3876462946466316E-2</v>
      </c>
      <c r="P18" s="10">
        <f t="shared" si="11"/>
        <v>1.3899858931581568E-2</v>
      </c>
      <c r="Q18" s="10">
        <f t="shared" si="11"/>
        <v>1.3925062426010699E-2</v>
      </c>
      <c r="R18" s="10">
        <f t="shared" si="11"/>
        <v>1.3952058562767853E-2</v>
      </c>
    </row>
    <row r="19" spans="2:18" ht="15" customHeight="1" x14ac:dyDescent="0.2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0.31615302869287992</v>
      </c>
      <c r="E19" s="10">
        <f t="shared" si="12"/>
        <v>0.31147056339217838</v>
      </c>
      <c r="F19" s="10">
        <f t="shared" si="12"/>
        <v>0.30680863427676552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0.28837477313495619</v>
      </c>
      <c r="K19" s="10">
        <f t="shared" si="12"/>
        <v>0.28382194062506683</v>
      </c>
      <c r="L19" s="10">
        <f t="shared" si="12"/>
        <v>0.27929224622065058</v>
      </c>
      <c r="M19" s="10">
        <f t="shared" si="12"/>
        <v>0.27478614066310697</v>
      </c>
      <c r="N19" s="10">
        <f t="shared" si="12"/>
        <v>0.2703040791050228</v>
      </c>
      <c r="O19" s="10">
        <f t="shared" si="12"/>
        <v>0.26584652090106137</v>
      </c>
      <c r="P19" s="10">
        <f t="shared" si="12"/>
        <v>0.26141392938386032</v>
      </c>
      <c r="Q19" s="10">
        <f t="shared" si="12"/>
        <v>0.25700677162470187</v>
      </c>
      <c r="R19" s="10">
        <f t="shared" si="12"/>
        <v>0.2526255181787449</v>
      </c>
    </row>
    <row r="20" spans="2:18" ht="15" customHeight="1" x14ac:dyDescent="0.2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0.48077104345367139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0.43587207690466379</v>
      </c>
      <c r="K20" s="10">
        <f t="shared" si="13"/>
        <v>0.42740854143078683</v>
      </c>
      <c r="L20" s="10">
        <f t="shared" si="13"/>
        <v>0.41910934645154824</v>
      </c>
      <c r="M20" s="10">
        <f t="shared" si="13"/>
        <v>0.41097130088938227</v>
      </c>
      <c r="N20" s="10">
        <f t="shared" si="13"/>
        <v>0.40299127562939424</v>
      </c>
      <c r="O20" s="10">
        <f t="shared" si="13"/>
        <v>0.39516620231620209</v>
      </c>
      <c r="P20" s="10">
        <f t="shared" si="13"/>
        <v>0.38749307217413992</v>
      </c>
      <c r="Q20" s="10">
        <f t="shared" si="13"/>
        <v>0.3799689348503702</v>
      </c>
      <c r="R20" s="10">
        <f t="shared" si="13"/>
        <v>0.37259089728046008</v>
      </c>
    </row>
    <row r="21" spans="2:18" x14ac:dyDescent="0.2">
      <c r="B21" s="8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C7"/>
  <sheetViews>
    <sheetView workbookViewId="0">
      <selection activeCell="N34" sqref="N34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281</v>
      </c>
      <c r="C2" t="s">
        <v>282</v>
      </c>
    </row>
    <row r="3" spans="2:3" x14ac:dyDescent="0.2">
      <c r="B3" t="s">
        <v>283</v>
      </c>
      <c r="C3" s="29">
        <v>725000</v>
      </c>
    </row>
    <row r="4" spans="2:3" x14ac:dyDescent="0.2">
      <c r="B4" t="s">
        <v>284</v>
      </c>
      <c r="C4" s="30">
        <v>45139</v>
      </c>
    </row>
    <row r="5" spans="2:3" x14ac:dyDescent="0.2">
      <c r="B5" t="s">
        <v>285</v>
      </c>
      <c r="C5">
        <v>30</v>
      </c>
    </row>
    <row r="6" spans="2:3" x14ac:dyDescent="0.2">
      <c r="B6" t="s">
        <v>286</v>
      </c>
      <c r="C6" s="10">
        <v>0.06</v>
      </c>
    </row>
    <row r="7" spans="2:3" x14ac:dyDescent="0.2">
      <c r="B7" t="s">
        <v>287</v>
      </c>
      <c r="C7" s="31">
        <v>-4346.74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E85D-0232-5647-9A75-FF64DBBA5AC5}">
  <sheetPr>
    <tabColor theme="8"/>
  </sheetPr>
  <dimension ref="B1:EY8"/>
  <sheetViews>
    <sheetView workbookViewId="0">
      <selection activeCell="N34" sqref="N34"/>
    </sheetView>
  </sheetViews>
  <sheetFormatPr baseColWidth="10" defaultRowHeight="15" x14ac:dyDescent="0.2"/>
  <cols>
    <col min="2" max="2" width="5.33203125" bestFit="1" customWidth="1"/>
    <col min="3" max="3" width="14.1640625" bestFit="1" customWidth="1"/>
    <col min="4" max="4" width="14.1640625" customWidth="1"/>
    <col min="5" max="5" width="15.6640625" bestFit="1" customWidth="1"/>
    <col min="6" max="6" width="17.83203125" bestFit="1" customWidth="1"/>
    <col min="7" max="48" width="9" bestFit="1" customWidth="1"/>
    <col min="49" max="52" width="6.83203125" bestFit="1" customWidth="1"/>
    <col min="53" max="53" width="20.6640625" bestFit="1" customWidth="1"/>
    <col min="54" max="54" width="6.83203125" bestFit="1" customWidth="1"/>
    <col min="55" max="57" width="7.83203125" bestFit="1" customWidth="1"/>
    <col min="58" max="66" width="6.83203125" bestFit="1" customWidth="1"/>
    <col min="67" max="68" width="7.83203125" bestFit="1" customWidth="1"/>
    <col min="69" max="69" width="28.1640625" bestFit="1" customWidth="1"/>
    <col min="70" max="78" width="6.83203125" bestFit="1" customWidth="1"/>
    <col min="79" max="81" width="7.83203125" bestFit="1" customWidth="1"/>
    <col min="82" max="90" width="6.83203125" bestFit="1" customWidth="1"/>
    <col min="91" max="92" width="7.83203125" bestFit="1" customWidth="1"/>
    <col min="93" max="93" width="15.33203125" bestFit="1" customWidth="1"/>
    <col min="94" max="102" width="6.83203125" bestFit="1" customWidth="1"/>
    <col min="103" max="105" width="7.83203125" bestFit="1" customWidth="1"/>
    <col min="106" max="112" width="6.83203125" bestFit="1" customWidth="1"/>
    <col min="113" max="113" width="15.5" bestFit="1" customWidth="1"/>
    <col min="114" max="114" width="6.83203125" bestFit="1" customWidth="1"/>
    <col min="115" max="117" width="7.83203125" bestFit="1" customWidth="1"/>
    <col min="118" max="126" width="6.83203125" bestFit="1" customWidth="1"/>
    <col min="127" max="129" width="7.83203125" bestFit="1" customWidth="1"/>
    <col min="130" max="138" width="6.83203125" bestFit="1" customWidth="1"/>
    <col min="139" max="141" width="7.83203125" bestFit="1" customWidth="1"/>
    <col min="142" max="150" width="6.83203125" bestFit="1" customWidth="1"/>
    <col min="151" max="153" width="7.83203125" bestFit="1" customWidth="1"/>
    <col min="154" max="154" width="15.6640625" bestFit="1" customWidth="1"/>
    <col min="155" max="155" width="6.83203125" bestFit="1" customWidth="1"/>
  </cols>
  <sheetData>
    <row r="1" spans="2:155" x14ac:dyDescent="0.2"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 t="s">
        <v>288</v>
      </c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 t="s">
        <v>289</v>
      </c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2"/>
      <c r="CK1" s="32"/>
      <c r="CL1" s="32"/>
      <c r="CM1" s="32"/>
      <c r="CN1" s="32"/>
      <c r="CO1" s="32" t="s">
        <v>290</v>
      </c>
      <c r="CP1" s="32"/>
      <c r="CQ1" s="32"/>
      <c r="CR1" s="32"/>
      <c r="CS1" s="32"/>
      <c r="CT1" s="32"/>
      <c r="CU1" s="32"/>
      <c r="CV1" s="32"/>
      <c r="CW1" s="32"/>
      <c r="CX1" s="32"/>
      <c r="CY1" s="32"/>
      <c r="CZ1" s="32"/>
      <c r="DA1" s="32"/>
      <c r="DB1" s="32"/>
      <c r="DC1" s="32"/>
      <c r="DD1" s="32"/>
      <c r="DE1" s="32"/>
      <c r="DF1" s="32"/>
      <c r="DG1" s="32"/>
      <c r="DH1" s="32"/>
      <c r="DI1" s="32" t="s">
        <v>291</v>
      </c>
      <c r="DJ1" s="32"/>
      <c r="DK1" s="32"/>
      <c r="DL1" s="32"/>
      <c r="DM1" s="32"/>
      <c r="DN1" s="32"/>
      <c r="DO1" s="32"/>
      <c r="DP1" s="32"/>
      <c r="DQ1" s="32"/>
      <c r="DR1" s="32"/>
      <c r="DS1" s="32"/>
      <c r="DT1" s="32"/>
      <c r="DU1" s="32"/>
      <c r="DV1" s="32"/>
      <c r="DW1" s="32"/>
      <c r="DX1" s="32"/>
      <c r="DY1" s="32"/>
      <c r="DZ1" s="32"/>
      <c r="EA1" s="32"/>
      <c r="EB1" s="32"/>
      <c r="EC1" s="32"/>
      <c r="ED1" s="32"/>
      <c r="EE1" s="32"/>
      <c r="EF1" s="32"/>
      <c r="EG1" s="32"/>
      <c r="EH1" s="32"/>
      <c r="EI1" s="32"/>
      <c r="EJ1" s="32"/>
      <c r="EK1" s="32"/>
      <c r="EL1" s="32"/>
      <c r="EM1" s="32"/>
      <c r="EN1" s="32"/>
      <c r="EO1" s="32"/>
      <c r="EP1" s="32"/>
      <c r="EQ1" s="32"/>
      <c r="ER1" s="32"/>
      <c r="ES1" s="32"/>
      <c r="ET1" s="32"/>
      <c r="EU1" s="32"/>
      <c r="EV1" s="32"/>
      <c r="EW1" s="32"/>
      <c r="EX1" s="32" t="s">
        <v>292</v>
      </c>
      <c r="EY1" s="32"/>
    </row>
    <row r="2" spans="2:155" x14ac:dyDescent="0.2">
      <c r="B2" s="33" t="s">
        <v>293</v>
      </c>
      <c r="C2" s="33" t="s">
        <v>294</v>
      </c>
      <c r="D2" s="33" t="s">
        <v>295</v>
      </c>
      <c r="E2" s="33" t="s">
        <v>296</v>
      </c>
      <c r="F2" s="33" t="s">
        <v>297</v>
      </c>
      <c r="G2" s="34">
        <v>43831</v>
      </c>
      <c r="H2" s="34">
        <v>44197</v>
      </c>
      <c r="I2" s="34">
        <v>44562</v>
      </c>
      <c r="J2" s="34">
        <v>44927</v>
      </c>
      <c r="K2" s="34">
        <v>44958</v>
      </c>
      <c r="L2" s="34">
        <v>44986</v>
      </c>
      <c r="M2" s="34">
        <v>45017</v>
      </c>
      <c r="N2" s="34">
        <v>45047</v>
      </c>
      <c r="O2" s="34">
        <v>45078</v>
      </c>
      <c r="P2" s="34">
        <v>45108</v>
      </c>
      <c r="Q2" s="34">
        <v>45139</v>
      </c>
      <c r="R2" s="34">
        <v>45170</v>
      </c>
      <c r="S2" s="34">
        <v>45200</v>
      </c>
      <c r="T2" s="34">
        <v>45231</v>
      </c>
      <c r="U2" s="34">
        <v>45261</v>
      </c>
      <c r="V2" s="34">
        <v>45292</v>
      </c>
      <c r="W2" s="34">
        <v>45323</v>
      </c>
      <c r="X2" s="34">
        <v>45352</v>
      </c>
      <c r="Y2" s="34">
        <v>45383</v>
      </c>
      <c r="Z2" s="34">
        <v>45413</v>
      </c>
      <c r="AA2" s="34">
        <v>45444</v>
      </c>
      <c r="AB2" s="34">
        <v>45474</v>
      </c>
      <c r="AC2" s="34">
        <v>45505</v>
      </c>
      <c r="AD2" s="34">
        <v>45536</v>
      </c>
      <c r="AE2" s="34">
        <v>45566</v>
      </c>
      <c r="AF2" s="34">
        <v>45597</v>
      </c>
      <c r="AG2" s="34">
        <v>45627</v>
      </c>
      <c r="AH2" s="34">
        <v>45658</v>
      </c>
      <c r="AI2" s="34">
        <v>45689</v>
      </c>
      <c r="AJ2" s="34">
        <v>45717</v>
      </c>
      <c r="AK2" s="34">
        <v>45748</v>
      </c>
      <c r="AL2" s="34">
        <v>45778</v>
      </c>
      <c r="AM2" s="34">
        <v>45809</v>
      </c>
      <c r="AN2" s="34">
        <v>45839</v>
      </c>
      <c r="AO2" s="34">
        <v>45870</v>
      </c>
      <c r="AP2" s="34">
        <v>45901</v>
      </c>
      <c r="AQ2" s="34">
        <v>45931</v>
      </c>
      <c r="AR2" s="34">
        <v>45962</v>
      </c>
      <c r="AS2" s="34">
        <v>45992</v>
      </c>
      <c r="AT2" s="34">
        <v>46023</v>
      </c>
      <c r="AU2" s="34">
        <v>46054</v>
      </c>
      <c r="AV2" s="34">
        <v>46082</v>
      </c>
      <c r="AW2" s="34">
        <v>46113</v>
      </c>
      <c r="AX2" s="34">
        <v>46143</v>
      </c>
      <c r="AY2" s="34">
        <v>46174</v>
      </c>
      <c r="AZ2" s="34">
        <v>46204</v>
      </c>
      <c r="BA2" s="34">
        <v>46235</v>
      </c>
      <c r="BB2" s="34">
        <v>46266</v>
      </c>
      <c r="BC2" s="34">
        <v>46296</v>
      </c>
      <c r="BD2" s="34">
        <v>46327</v>
      </c>
      <c r="BE2" s="34">
        <v>46357</v>
      </c>
      <c r="BF2" s="34">
        <v>46388</v>
      </c>
      <c r="BG2" s="34">
        <v>46419</v>
      </c>
      <c r="BH2" s="34">
        <v>46447</v>
      </c>
      <c r="BI2" s="34">
        <v>46478</v>
      </c>
      <c r="BJ2" s="34">
        <v>46508</v>
      </c>
      <c r="BK2" s="34">
        <v>46539</v>
      </c>
      <c r="BL2" s="34">
        <v>46569</v>
      </c>
      <c r="BM2" s="34">
        <v>46600</v>
      </c>
      <c r="BN2" s="34">
        <v>46631</v>
      </c>
      <c r="BO2" s="34">
        <v>46661</v>
      </c>
      <c r="BP2" s="34">
        <v>46692</v>
      </c>
      <c r="BQ2" s="34">
        <v>46722</v>
      </c>
      <c r="BR2" s="34">
        <v>46753</v>
      </c>
      <c r="BS2" s="34">
        <v>46784</v>
      </c>
      <c r="BT2" s="34">
        <v>46813</v>
      </c>
      <c r="BU2" s="34">
        <v>46844</v>
      </c>
      <c r="BV2" s="34">
        <v>46874</v>
      </c>
      <c r="BW2" s="34">
        <v>46905</v>
      </c>
      <c r="BX2" s="34">
        <v>46935</v>
      </c>
      <c r="BY2" s="34">
        <v>46966</v>
      </c>
      <c r="BZ2" s="34">
        <v>46997</v>
      </c>
      <c r="CA2" s="34">
        <v>47027</v>
      </c>
      <c r="CB2" s="34">
        <v>47058</v>
      </c>
      <c r="CC2" s="34">
        <v>47088</v>
      </c>
      <c r="CD2" s="34">
        <v>47119</v>
      </c>
      <c r="CE2" s="34">
        <v>47150</v>
      </c>
      <c r="CF2" s="34">
        <v>47178</v>
      </c>
      <c r="CG2" s="34">
        <v>47209</v>
      </c>
      <c r="CH2" s="34">
        <v>47239</v>
      </c>
      <c r="CI2" s="34">
        <v>47270</v>
      </c>
      <c r="CJ2" s="34">
        <v>47300</v>
      </c>
      <c r="CK2" s="34">
        <v>47331</v>
      </c>
      <c r="CL2" s="34">
        <v>47362</v>
      </c>
      <c r="CM2" s="34">
        <v>47392</v>
      </c>
      <c r="CN2" s="34">
        <v>47423</v>
      </c>
      <c r="CO2" s="34">
        <v>47453</v>
      </c>
      <c r="CP2" s="34">
        <v>10959</v>
      </c>
      <c r="CQ2" s="34">
        <v>10990</v>
      </c>
      <c r="CR2" s="34">
        <v>11018</v>
      </c>
      <c r="CS2" s="34">
        <v>11049</v>
      </c>
      <c r="CT2" s="34">
        <v>11079</v>
      </c>
      <c r="CU2" s="34">
        <v>11110</v>
      </c>
      <c r="CV2" s="34">
        <v>11140</v>
      </c>
      <c r="CW2" s="34">
        <v>11171</v>
      </c>
      <c r="CX2" s="34">
        <v>11202</v>
      </c>
      <c r="CY2" s="34">
        <v>11232</v>
      </c>
      <c r="CZ2" s="34">
        <v>11263</v>
      </c>
      <c r="DA2" s="34">
        <v>11293</v>
      </c>
      <c r="DB2" s="34">
        <v>11324</v>
      </c>
      <c r="DC2" s="34">
        <v>11355</v>
      </c>
      <c r="DD2" s="34">
        <v>11383</v>
      </c>
      <c r="DE2" s="34">
        <v>11414</v>
      </c>
      <c r="DF2" s="34">
        <v>11444</v>
      </c>
      <c r="DG2" s="34">
        <v>11475</v>
      </c>
      <c r="DH2" s="34">
        <v>11505</v>
      </c>
      <c r="DI2" s="34">
        <v>11536</v>
      </c>
      <c r="DJ2" s="34">
        <v>11567</v>
      </c>
      <c r="DK2" s="34">
        <v>11597</v>
      </c>
      <c r="DL2" s="34">
        <v>11628</v>
      </c>
      <c r="DM2" s="34">
        <v>11658</v>
      </c>
      <c r="DN2" s="34">
        <v>11689</v>
      </c>
      <c r="DO2" s="34">
        <v>11720</v>
      </c>
      <c r="DP2" s="34">
        <v>11749</v>
      </c>
      <c r="DQ2" s="34">
        <v>11780</v>
      </c>
      <c r="DR2" s="34">
        <v>11810</v>
      </c>
      <c r="DS2" s="34">
        <v>11841</v>
      </c>
      <c r="DT2" s="34">
        <v>11871</v>
      </c>
      <c r="DU2" s="34">
        <v>11902</v>
      </c>
      <c r="DV2" s="34">
        <v>11933</v>
      </c>
      <c r="DW2" s="34">
        <v>11963</v>
      </c>
      <c r="DX2" s="34">
        <v>11994</v>
      </c>
      <c r="DY2" s="34">
        <v>12024</v>
      </c>
      <c r="DZ2" s="34">
        <v>12055</v>
      </c>
      <c r="EA2" s="34">
        <v>12086</v>
      </c>
      <c r="EB2" s="34">
        <v>12114</v>
      </c>
      <c r="EC2" s="34">
        <v>12145</v>
      </c>
      <c r="ED2" s="34">
        <v>12175</v>
      </c>
      <c r="EE2" s="34">
        <v>12206</v>
      </c>
      <c r="EF2" s="34">
        <v>12236</v>
      </c>
      <c r="EG2" s="34">
        <v>12267</v>
      </c>
      <c r="EH2" s="34">
        <v>12298</v>
      </c>
      <c r="EI2" s="34">
        <v>12328</v>
      </c>
      <c r="EJ2" s="34">
        <v>12359</v>
      </c>
      <c r="EK2" s="34">
        <v>12389</v>
      </c>
      <c r="EL2" s="34">
        <v>12420</v>
      </c>
      <c r="EM2" s="34">
        <v>12451</v>
      </c>
      <c r="EN2" s="34">
        <v>12479</v>
      </c>
      <c r="EO2" s="34">
        <v>12510</v>
      </c>
      <c r="EP2" s="34">
        <v>12540</v>
      </c>
      <c r="EQ2" s="34">
        <v>12571</v>
      </c>
      <c r="ER2" s="34">
        <v>12601</v>
      </c>
      <c r="ES2" s="34">
        <v>12632</v>
      </c>
      <c r="ET2" s="34">
        <v>12663</v>
      </c>
      <c r="EU2" s="34">
        <v>12693</v>
      </c>
      <c r="EV2" s="34">
        <v>12724</v>
      </c>
      <c r="EW2" s="34">
        <v>12754</v>
      </c>
      <c r="EX2" s="34">
        <v>12785</v>
      </c>
      <c r="EY2" s="34">
        <v>12816</v>
      </c>
    </row>
    <row r="3" spans="2:155" x14ac:dyDescent="0.2">
      <c r="B3" s="32" t="s">
        <v>298</v>
      </c>
      <c r="C3" s="35">
        <v>-25250</v>
      </c>
      <c r="D3" s="35">
        <f>C3*2</f>
        <v>-50500</v>
      </c>
      <c r="E3" s="36">
        <v>45519</v>
      </c>
      <c r="F3" s="35">
        <v>0</v>
      </c>
      <c r="G3" s="37">
        <v>40256</v>
      </c>
      <c r="H3" s="37">
        <v>57360</v>
      </c>
      <c r="I3" s="37">
        <v>74280</v>
      </c>
      <c r="J3" s="37">
        <v>61779</v>
      </c>
      <c r="K3" s="37">
        <v>66034</v>
      </c>
      <c r="L3" s="37">
        <v>65607</v>
      </c>
      <c r="M3" s="37">
        <v>65660</v>
      </c>
      <c r="N3" s="37">
        <v>67604</v>
      </c>
      <c r="O3" s="37">
        <v>68098</v>
      </c>
      <c r="P3" s="37">
        <v>70250</v>
      </c>
      <c r="Q3" s="37">
        <v>70250</v>
      </c>
      <c r="R3" s="37">
        <v>71427</v>
      </c>
      <c r="S3" s="37">
        <v>69603</v>
      </c>
      <c r="T3" s="37">
        <v>70250</v>
      </c>
      <c r="U3" s="37">
        <v>70250</v>
      </c>
      <c r="V3" s="37">
        <v>72031</v>
      </c>
      <c r="W3" s="37">
        <v>70250</v>
      </c>
      <c r="X3" s="37">
        <v>70250</v>
      </c>
      <c r="Y3" s="37">
        <v>78310</v>
      </c>
      <c r="Z3" s="37">
        <v>70250</v>
      </c>
      <c r="AA3" s="37">
        <v>82354</v>
      </c>
      <c r="AB3" s="37">
        <v>82354</v>
      </c>
      <c r="AC3" s="37">
        <v>82354</v>
      </c>
      <c r="AD3" s="37">
        <v>82354</v>
      </c>
      <c r="AE3" s="37">
        <v>72795</v>
      </c>
      <c r="AF3" s="37">
        <v>74986</v>
      </c>
      <c r="AG3" s="37">
        <v>74986</v>
      </c>
      <c r="AH3" s="37">
        <v>73842</v>
      </c>
      <c r="AI3" s="37">
        <v>63700</v>
      </c>
      <c r="AJ3" s="37">
        <v>63047</v>
      </c>
      <c r="AK3" s="37">
        <v>60227</v>
      </c>
      <c r="AL3" s="37">
        <v>59930</v>
      </c>
      <c r="AM3" s="37">
        <v>60203</v>
      </c>
      <c r="AN3" s="37">
        <v>62770</v>
      </c>
      <c r="AO3" s="37">
        <v>50875</v>
      </c>
      <c r="AP3" s="37">
        <v>52735</v>
      </c>
      <c r="AQ3" s="37">
        <v>54831</v>
      </c>
      <c r="AR3" s="37">
        <v>55894</v>
      </c>
      <c r="AS3" s="37">
        <v>56016</v>
      </c>
      <c r="AT3" s="37">
        <v>56015</v>
      </c>
      <c r="AU3" s="37">
        <v>43211</v>
      </c>
      <c r="AV3" s="37">
        <v>42870</v>
      </c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37"/>
      <c r="EP3" s="37"/>
      <c r="EQ3" s="37"/>
      <c r="ER3" s="37"/>
      <c r="ES3" s="37"/>
      <c r="ET3" s="37"/>
      <c r="EU3" s="37"/>
      <c r="EV3" s="37"/>
      <c r="EW3" s="37"/>
      <c r="EX3" s="37"/>
      <c r="EY3" s="37"/>
    </row>
    <row r="4" spans="2:155" x14ac:dyDescent="0.2">
      <c r="B4" s="32" t="s">
        <v>299</v>
      </c>
      <c r="C4" s="35">
        <v>-27000</v>
      </c>
      <c r="D4" s="35">
        <f>C4*4</f>
        <v>-108000</v>
      </c>
      <c r="E4" s="36">
        <v>46249</v>
      </c>
      <c r="F4" s="35">
        <v>250</v>
      </c>
      <c r="G4" s="37">
        <v>37359</v>
      </c>
      <c r="H4" s="37">
        <v>47034</v>
      </c>
      <c r="I4" s="37">
        <v>57303</v>
      </c>
      <c r="J4" s="37">
        <v>48159</v>
      </c>
      <c r="K4" s="37">
        <v>51913</v>
      </c>
      <c r="L4" s="37">
        <v>51412</v>
      </c>
      <c r="M4" s="37">
        <v>51248</v>
      </c>
      <c r="N4" s="37">
        <v>52583</v>
      </c>
      <c r="O4" s="37">
        <v>52300</v>
      </c>
      <c r="P4" s="37">
        <v>54350</v>
      </c>
      <c r="Q4" s="37">
        <v>54350</v>
      </c>
      <c r="R4" s="37">
        <v>55860</v>
      </c>
      <c r="S4" s="37">
        <v>53317</v>
      </c>
      <c r="T4" s="37">
        <v>54350</v>
      </c>
      <c r="U4" s="37">
        <v>54350</v>
      </c>
      <c r="V4" s="37">
        <v>58954</v>
      </c>
      <c r="W4" s="37">
        <v>54350</v>
      </c>
      <c r="X4" s="37">
        <v>54350</v>
      </c>
      <c r="Y4" s="37">
        <v>62480</v>
      </c>
      <c r="Z4" s="37">
        <v>54350</v>
      </c>
      <c r="AA4" s="37">
        <v>65757</v>
      </c>
      <c r="AB4" s="37">
        <v>65757</v>
      </c>
      <c r="AC4" s="37">
        <v>65757</v>
      </c>
      <c r="AD4" s="37">
        <v>65757</v>
      </c>
      <c r="AE4" s="37">
        <v>70785</v>
      </c>
      <c r="AF4" s="37">
        <v>71420</v>
      </c>
      <c r="AG4" s="37">
        <v>71420</v>
      </c>
      <c r="AH4" s="37">
        <v>70072</v>
      </c>
      <c r="AI4" s="37">
        <v>72615</v>
      </c>
      <c r="AJ4" s="37">
        <v>72665</v>
      </c>
      <c r="AK4" s="37">
        <v>70611</v>
      </c>
      <c r="AL4" s="37">
        <v>71644</v>
      </c>
      <c r="AM4" s="37">
        <v>75224</v>
      </c>
      <c r="AN4" s="37">
        <v>78907</v>
      </c>
      <c r="AO4" s="37">
        <v>77475</v>
      </c>
      <c r="AP4" s="37">
        <v>81472</v>
      </c>
      <c r="AQ4" s="37">
        <v>84114</v>
      </c>
      <c r="AR4" s="37">
        <v>85950</v>
      </c>
      <c r="AS4" s="37">
        <v>86438</v>
      </c>
      <c r="AT4" s="37">
        <v>87649</v>
      </c>
      <c r="AU4" s="37">
        <v>87853</v>
      </c>
      <c r="AV4" s="37">
        <v>89506</v>
      </c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</row>
    <row r="5" spans="2:155" x14ac:dyDescent="0.2">
      <c r="B5" s="32" t="s">
        <v>300</v>
      </c>
      <c r="C5" s="35">
        <v>-30000</v>
      </c>
      <c r="D5" s="35">
        <f>C5*4</f>
        <v>-120000</v>
      </c>
      <c r="E5" s="36">
        <v>48075</v>
      </c>
      <c r="F5" s="35">
        <v>100</v>
      </c>
      <c r="G5" s="37">
        <v>26592</v>
      </c>
      <c r="H5" s="37">
        <v>30603</v>
      </c>
      <c r="I5" s="37">
        <v>39149</v>
      </c>
      <c r="J5" s="37">
        <v>33091</v>
      </c>
      <c r="K5" s="37">
        <v>35475</v>
      </c>
      <c r="L5" s="37">
        <v>35278</v>
      </c>
      <c r="M5" s="37">
        <v>35332</v>
      </c>
      <c r="N5" s="37">
        <v>36383</v>
      </c>
      <c r="O5" s="37">
        <v>36565</v>
      </c>
      <c r="P5" s="37">
        <v>38219</v>
      </c>
      <c r="Q5" s="37">
        <v>38219</v>
      </c>
      <c r="R5" s="37">
        <v>41449</v>
      </c>
      <c r="S5" s="37">
        <v>39640</v>
      </c>
      <c r="T5" s="37">
        <v>38219</v>
      </c>
      <c r="U5" s="37">
        <v>38219</v>
      </c>
      <c r="V5" s="37">
        <v>44224</v>
      </c>
      <c r="W5" s="37">
        <v>38219</v>
      </c>
      <c r="X5" s="37">
        <v>38219</v>
      </c>
      <c r="Y5" s="37">
        <v>47525</v>
      </c>
      <c r="Z5" s="37">
        <v>38219</v>
      </c>
      <c r="AA5" s="37">
        <v>50514</v>
      </c>
      <c r="AB5" s="37">
        <v>50514</v>
      </c>
      <c r="AC5" s="37">
        <v>50514</v>
      </c>
      <c r="AD5" s="37">
        <v>50514</v>
      </c>
      <c r="AE5" s="37">
        <v>53978</v>
      </c>
      <c r="AF5" s="37">
        <v>55548</v>
      </c>
      <c r="AG5" s="37">
        <v>55548</v>
      </c>
      <c r="AH5" s="37">
        <v>54507</v>
      </c>
      <c r="AI5" s="37">
        <v>56132</v>
      </c>
      <c r="AJ5" s="37">
        <v>55662</v>
      </c>
      <c r="AK5" s="37">
        <v>53208</v>
      </c>
      <c r="AL5" s="37">
        <v>53296</v>
      </c>
      <c r="AM5" s="37">
        <v>56454</v>
      </c>
      <c r="AN5" s="37">
        <v>59146</v>
      </c>
      <c r="AO5" s="37">
        <v>59242</v>
      </c>
      <c r="AP5" s="37">
        <v>61879</v>
      </c>
      <c r="AQ5" s="37">
        <v>64101</v>
      </c>
      <c r="AR5" s="37">
        <v>65423</v>
      </c>
      <c r="AS5" s="37">
        <v>65687</v>
      </c>
      <c r="AT5" s="37">
        <v>66167</v>
      </c>
      <c r="AU5" s="37">
        <v>67892</v>
      </c>
      <c r="AV5" s="37">
        <v>68487</v>
      </c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2"/>
    </row>
    <row r="6" spans="2:155" x14ac:dyDescent="0.2">
      <c r="B6" s="32"/>
      <c r="C6" s="32"/>
      <c r="D6" s="32"/>
      <c r="E6" s="32"/>
      <c r="F6" s="32"/>
      <c r="G6" s="35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  <c r="EW6" s="32"/>
      <c r="EX6" s="32"/>
      <c r="EY6" s="32"/>
    </row>
    <row r="7" spans="2:155" x14ac:dyDescent="0.2"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</row>
    <row r="8" spans="2:155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A1:P74"/>
  <sheetViews>
    <sheetView zoomScale="120" zoomScaleNormal="120" workbookViewId="0">
      <selection activeCell="G4" sqref="G4"/>
    </sheetView>
  </sheetViews>
  <sheetFormatPr baseColWidth="10" defaultColWidth="10.83203125" defaultRowHeight="16" customHeight="1" outlineLevelCol="1" x14ac:dyDescent="0.2"/>
  <cols>
    <col min="1" max="1" width="3.1640625" style="1" customWidth="1"/>
    <col min="2" max="2" width="13.33203125" style="1" customWidth="1"/>
    <col min="3" max="3" width="12" style="1" customWidth="1" outlineLevel="1" collapsed="1"/>
    <col min="4" max="4" width="10.83203125" style="11" customWidth="1" outlineLevel="1" collapsed="1"/>
    <col min="5" max="5" width="11.5" style="1" customWidth="1"/>
    <col min="6" max="6" width="9.5" style="12" customWidth="1"/>
    <col min="7" max="7" width="80.83203125" style="1" customWidth="1"/>
    <col min="8" max="8" width="11.6640625" style="1" customWidth="1"/>
    <col min="9" max="9" width="9.1640625" style="1" customWidth="1"/>
    <col min="10" max="10" width="12.33203125" style="1" customWidth="1"/>
    <col min="11" max="11" width="11.33203125" style="1" customWidth="1"/>
    <col min="12" max="12" width="11.1640625" style="1" customWidth="1"/>
    <col min="13" max="13" width="12.33203125" style="1" customWidth="1"/>
    <col min="14" max="14" width="11.83203125" style="10" customWidth="1"/>
    <col min="15" max="15" width="13.1640625" style="10" customWidth="1"/>
    <col min="16" max="16" width="10.83203125" style="1" customWidth="1"/>
    <col min="17" max="16384" width="10.83203125" style="1"/>
  </cols>
  <sheetData>
    <row r="1" spans="1:16" ht="15" customHeight="1" x14ac:dyDescent="0.2">
      <c r="D1" s="1"/>
      <c r="M1" s="10"/>
      <c r="O1" s="1"/>
    </row>
    <row r="2" spans="1:16" s="13" customFormat="1" ht="29" customHeight="1" x14ac:dyDescent="0.2">
      <c r="A2" s="1"/>
      <c r="B2" s="14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5" t="s">
        <v>25</v>
      </c>
      <c r="I2" s="14" t="s">
        <v>26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31</v>
      </c>
      <c r="O2" s="14" t="s">
        <v>32</v>
      </c>
      <c r="P2" s="14" t="s">
        <v>33</v>
      </c>
    </row>
    <row r="3" spans="1:16" ht="14" customHeight="1" x14ac:dyDescent="0.2">
      <c r="B3" s="16" t="s">
        <v>34</v>
      </c>
      <c r="C3" s="16" t="e">
        <f t="array" ref="C3">_xlfn.XLOOKUP(#REF!,#REF!,#REF!)</f>
        <v>#REF!</v>
      </c>
      <c r="D3" s="16" t="e">
        <f t="array" ref="D3">_xlfn.XLOOKUP(#REF!,#REF!,#REF!)</f>
        <v>#REF!</v>
      </c>
      <c r="E3" s="16" t="s">
        <v>35</v>
      </c>
      <c r="F3" s="16" t="s">
        <v>36</v>
      </c>
      <c r="G3" s="17" t="e">
        <f t="array" ref="G3">_xlfn.XLOOKUP(#REF!,Table36[[#All],[Symbol]],Table36[[#All],[Security Description]])</f>
        <v>#REF!</v>
      </c>
      <c r="H3" s="18">
        <v>41715</v>
      </c>
      <c r="I3" s="19" t="e">
        <f>#REF!&amp;" "&amp;#REF!</f>
        <v>#REF!</v>
      </c>
      <c r="J3" s="16">
        <v>2</v>
      </c>
      <c r="K3" s="20">
        <f>75.8892857142857*7</f>
        <v>531.22499999999991</v>
      </c>
      <c r="L3" s="21">
        <v>43143</v>
      </c>
      <c r="M3" s="16"/>
      <c r="N3" s="16">
        <v>14</v>
      </c>
      <c r="O3" s="20" t="e">
        <f>IF(#REF!="Closed",#REF!/#REF!,"")</f>
        <v>#REF!</v>
      </c>
      <c r="P3" s="20">
        <v>2272.31</v>
      </c>
    </row>
    <row r="4" spans="1:16" ht="14" customHeight="1" x14ac:dyDescent="0.2">
      <c r="B4" s="16" t="s">
        <v>34</v>
      </c>
      <c r="C4" s="16" t="e">
        <f t="array" ref="C4">_xlfn.XLOOKUP(#REF!,#REF!,#REF!)</f>
        <v>#REF!</v>
      </c>
      <c r="D4" s="16" t="e">
        <f t="array" ref="D4">_xlfn.XLOOKUP(#REF!,#REF!,#REF!)</f>
        <v>#REF!</v>
      </c>
      <c r="E4" s="16" t="s">
        <v>35</v>
      </c>
      <c r="F4" s="16" t="s">
        <v>36</v>
      </c>
      <c r="G4" s="17" t="e">
        <f t="array" ref="G4">_xlfn.XLOOKUP(#REF!,Table36[[#All],[Symbol]],Table36[[#All],[Security Description]])</f>
        <v>#REF!</v>
      </c>
      <c r="H4" s="18">
        <v>41807</v>
      </c>
      <c r="I4" s="19" t="e">
        <f>#REF!&amp;" "&amp;#REF!</f>
        <v>#REF!</v>
      </c>
      <c r="J4" s="16">
        <v>11</v>
      </c>
      <c r="K4" s="20">
        <v>92.897272727272721</v>
      </c>
      <c r="L4" s="21">
        <v>43143</v>
      </c>
      <c r="M4" s="16"/>
      <c r="N4" s="16">
        <v>11</v>
      </c>
      <c r="O4" s="20" t="e">
        <f>IF(#REF!="Closed",#REF!/#REF!,"")</f>
        <v>#REF!</v>
      </c>
      <c r="P4" s="20">
        <v>1785.39</v>
      </c>
    </row>
    <row r="5" spans="1:16" ht="14" customHeight="1" x14ac:dyDescent="0.2">
      <c r="B5" s="16" t="s">
        <v>34</v>
      </c>
      <c r="C5" s="16" t="e">
        <f t="array" ref="C5">_xlfn.XLOOKUP(#REF!,#REF!,#REF!)</f>
        <v>#REF!</v>
      </c>
      <c r="D5" s="16" t="e">
        <f t="array" ref="D5">_xlfn.XLOOKUP(#REF!,#REF!,#REF!)</f>
        <v>#REF!</v>
      </c>
      <c r="E5" s="16" t="s">
        <v>35</v>
      </c>
      <c r="F5" s="16" t="s">
        <v>36</v>
      </c>
      <c r="G5" s="17" t="e">
        <f t="array" ref="G5">_xlfn.XLOOKUP(#REF!,Table36[[#All],[Symbol]],Table36[[#All],[Security Description]])</f>
        <v>#REF!</v>
      </c>
      <c r="H5" s="18">
        <v>41807</v>
      </c>
      <c r="I5" s="19" t="e">
        <f>#REF!&amp;" "&amp;#REF!</f>
        <v>#REF!</v>
      </c>
      <c r="J5" s="16">
        <f>20/4</f>
        <v>5</v>
      </c>
      <c r="K5" s="20">
        <f>23.224*4</f>
        <v>92.896000000000001</v>
      </c>
      <c r="L5" s="21">
        <v>44074</v>
      </c>
      <c r="M5" s="16"/>
      <c r="N5" s="16">
        <v>20</v>
      </c>
      <c r="O5" s="20" t="e">
        <f>IF(#REF!="Closed",#REF!/#REF!,"")</f>
        <v>#REF!</v>
      </c>
      <c r="P5" s="20">
        <v>2612.15</v>
      </c>
    </row>
    <row r="6" spans="1:16" ht="14" customHeight="1" x14ac:dyDescent="0.2">
      <c r="B6" s="16" t="s">
        <v>34</v>
      </c>
      <c r="C6" s="16" t="e">
        <f t="array" ref="C6">_xlfn.XLOOKUP(#REF!,#REF!,#REF!)</f>
        <v>#REF!</v>
      </c>
      <c r="D6" s="16" t="e">
        <f t="array" ref="D6">_xlfn.XLOOKUP(#REF!,#REF!,#REF!)</f>
        <v>#REF!</v>
      </c>
      <c r="E6" s="16" t="s">
        <v>35</v>
      </c>
      <c r="F6" s="16" t="s">
        <v>36</v>
      </c>
      <c r="G6" s="17" t="e">
        <f t="array" ref="G6">_xlfn.XLOOKUP(#REF!,Table36[[#All],[Symbol]],Table36[[#All],[Security Description]])</f>
        <v>#REF!</v>
      </c>
      <c r="H6" s="18">
        <v>41988</v>
      </c>
      <c r="I6" s="19" t="e">
        <f>#REF!&amp;" "&amp;#REF!</f>
        <v>#REF!</v>
      </c>
      <c r="J6" s="16">
        <f>36/4</f>
        <v>9</v>
      </c>
      <c r="K6" s="20">
        <f>4*27.8233333333333</f>
        <v>111.29333333333319</v>
      </c>
      <c r="L6" s="21">
        <v>44074</v>
      </c>
      <c r="M6" s="16"/>
      <c r="N6" s="16">
        <v>36</v>
      </c>
      <c r="O6" s="20" t="e">
        <f>IF(#REF!="Closed",#REF!/#REF!,"")</f>
        <v>#REF!</v>
      </c>
      <c r="P6" s="20">
        <v>4701.88</v>
      </c>
    </row>
    <row r="7" spans="1:16" ht="14" customHeight="1" x14ac:dyDescent="0.2">
      <c r="B7" s="16" t="s">
        <v>34</v>
      </c>
      <c r="C7" s="16" t="e">
        <f t="array" ref="C7">_xlfn.XLOOKUP(#REF!,#REF!,#REF!)</f>
        <v>#REF!</v>
      </c>
      <c r="D7" s="16" t="e">
        <f t="array" ref="D7">_xlfn.XLOOKUP(#REF!,#REF!,#REF!)</f>
        <v>#REF!</v>
      </c>
      <c r="E7" s="16" t="s">
        <v>37</v>
      </c>
      <c r="F7" s="16" t="s">
        <v>36</v>
      </c>
      <c r="G7" s="17" t="e">
        <f t="array" ref="G7">_xlfn.XLOOKUP(#REF!,Table36[[#All],[Symbol]],Table36[[#All],[Security Description]])</f>
        <v>#REF!</v>
      </c>
      <c r="H7" s="18">
        <v>42359</v>
      </c>
      <c r="I7" s="19" t="e">
        <f>#REF!&amp;" "&amp;#REF!</f>
        <v>#REF!</v>
      </c>
      <c r="J7" s="16">
        <f>18/4</f>
        <v>4.5</v>
      </c>
      <c r="K7" s="20">
        <f>4*26.83</f>
        <v>107.32</v>
      </c>
      <c r="L7" s="21"/>
      <c r="M7" s="16"/>
      <c r="N7" s="16"/>
      <c r="O7" s="20" t="e">
        <f>IF(#REF!="Closed",#REF!/#REF!,"")</f>
        <v>#REF!</v>
      </c>
      <c r="P7" s="20"/>
    </row>
    <row r="8" spans="1:16" ht="14" customHeight="1" x14ac:dyDescent="0.2">
      <c r="B8" s="16" t="s">
        <v>38</v>
      </c>
      <c r="C8" s="16" t="e">
        <f t="array" ref="C8">_xlfn.XLOOKUP(#REF!,#REF!,#REF!)</f>
        <v>#REF!</v>
      </c>
      <c r="D8" s="16" t="e">
        <f t="array" ref="D8">_xlfn.XLOOKUP(#REF!,#REF!,#REF!)</f>
        <v>#REF!</v>
      </c>
      <c r="E8" s="16" t="s">
        <v>35</v>
      </c>
      <c r="F8" s="16" t="s">
        <v>36</v>
      </c>
      <c r="G8" s="17" t="e">
        <f t="array" ref="G8">_xlfn.XLOOKUP(#REF!,Table36[[#All],[Symbol]],Table36[[#All],[Security Description]])</f>
        <v>#REF!</v>
      </c>
      <c r="H8" s="18">
        <v>42359</v>
      </c>
      <c r="I8" s="19" t="e">
        <f>#REF!&amp;" "&amp;#REF!</f>
        <v>#REF!</v>
      </c>
      <c r="J8" s="16">
        <f>12/4</f>
        <v>3</v>
      </c>
      <c r="K8" s="20">
        <f>4*26.825</f>
        <v>107.3</v>
      </c>
      <c r="L8" s="21">
        <v>44074</v>
      </c>
      <c r="M8" s="16"/>
      <c r="N8" s="16">
        <v>12</v>
      </c>
      <c r="O8" s="20" t="e">
        <f>IF(#REF!="Closed",#REF!/#REF!,"")</f>
        <v>#REF!</v>
      </c>
      <c r="P8" s="20">
        <v>1567.29</v>
      </c>
    </row>
    <row r="9" spans="1:16" ht="14" customHeight="1" x14ac:dyDescent="0.2">
      <c r="B9" s="16" t="s">
        <v>34</v>
      </c>
      <c r="C9" s="16" t="e">
        <f t="array" ref="C9">_xlfn.XLOOKUP(#REF!,#REF!,#REF!)</f>
        <v>#REF!</v>
      </c>
      <c r="D9" s="16" t="e">
        <f t="array" ref="D9">_xlfn.XLOOKUP(#REF!,#REF!,#REF!)</f>
        <v>#REF!</v>
      </c>
      <c r="E9" s="16" t="s">
        <v>35</v>
      </c>
      <c r="F9" s="16" t="s">
        <v>36</v>
      </c>
      <c r="G9" s="17" t="e">
        <f t="array" ref="G9">_xlfn.XLOOKUP(#REF!,Table36[[#All],[Symbol]],Table36[[#All],[Security Description]])</f>
        <v>#REF!</v>
      </c>
      <c r="H9" s="18">
        <v>42359</v>
      </c>
      <c r="I9" s="19" t="e">
        <f>#REF!&amp;" "&amp;#REF!</f>
        <v>#REF!</v>
      </c>
      <c r="J9" s="16">
        <f>1/4</f>
        <v>0.25</v>
      </c>
      <c r="K9" s="20">
        <f>4*26.83</f>
        <v>107.32</v>
      </c>
      <c r="L9" s="21">
        <v>45415</v>
      </c>
      <c r="M9" s="16" t="s">
        <v>39</v>
      </c>
      <c r="N9" s="16">
        <v>1</v>
      </c>
      <c r="O9" s="20" t="e">
        <f>IF(#REF!="Closed",#REF!/#REF!,"")</f>
        <v>#REF!</v>
      </c>
      <c r="P9" s="20">
        <v>183.38</v>
      </c>
    </row>
    <row r="10" spans="1:16" ht="14" customHeight="1" x14ac:dyDescent="0.2">
      <c r="B10" s="16" t="s">
        <v>34</v>
      </c>
      <c r="C10" s="16" t="e">
        <f t="array" ref="C10">_xlfn.XLOOKUP(#REF!,#REF!,#REF!)</f>
        <v>#REF!</v>
      </c>
      <c r="D10" s="16" t="e">
        <f t="array" ref="D10">_xlfn.XLOOKUP(#REF!,#REF!,#REF!)</f>
        <v>#REF!</v>
      </c>
      <c r="E10" s="16" t="s">
        <v>35</v>
      </c>
      <c r="F10" s="16" t="s">
        <v>36</v>
      </c>
      <c r="G10" s="17" t="e">
        <f t="array" ref="G10">_xlfn.XLOOKUP(#REF!,Table36[[#All],[Symbol]],Table36[[#All],[Security Description]])</f>
        <v>#REF!</v>
      </c>
      <c r="H10" s="18">
        <v>42359</v>
      </c>
      <c r="I10" s="19" t="e">
        <f>#REF!&amp;" "&amp;#REF!</f>
        <v>#REF!</v>
      </c>
      <c r="J10" s="16">
        <f>7/4</f>
        <v>1.75</v>
      </c>
      <c r="K10" s="20">
        <f>4*26.83</f>
        <v>107.32</v>
      </c>
      <c r="L10" s="21">
        <v>45608</v>
      </c>
      <c r="M10" s="16" t="s">
        <v>39</v>
      </c>
      <c r="N10" s="16">
        <v>7</v>
      </c>
      <c r="O10" s="20" t="e">
        <f>IF(#REF!="Closed",#REF!/#REF!,"")</f>
        <v>#REF!</v>
      </c>
      <c r="P10" s="20">
        <v>1573.12</v>
      </c>
    </row>
    <row r="11" spans="1:16" ht="14" customHeight="1" x14ac:dyDescent="0.2">
      <c r="B11" s="16" t="s">
        <v>34</v>
      </c>
      <c r="C11" s="16" t="e">
        <f t="array" ref="C11">_xlfn.XLOOKUP(#REF!,#REF!,#REF!)</f>
        <v>#REF!</v>
      </c>
      <c r="D11" s="16" t="e">
        <f t="array" ref="D11">_xlfn.XLOOKUP(#REF!,#REF!,#REF!)</f>
        <v>#REF!</v>
      </c>
      <c r="E11" s="16" t="s">
        <v>35</v>
      </c>
      <c r="F11" s="16" t="s">
        <v>36</v>
      </c>
      <c r="G11" s="17" t="e">
        <f t="array" ref="G11">_xlfn.XLOOKUP(#REF!,Table36[[#All],[Symbol]],Table36[[#All],[Security Description]])</f>
        <v>#REF!</v>
      </c>
      <c r="H11" s="18">
        <v>42359</v>
      </c>
      <c r="I11" s="19" t="e">
        <f>#REF!&amp;" "&amp;#REF!</f>
        <v>#REF!</v>
      </c>
      <c r="J11" s="16">
        <f>22/4</f>
        <v>5.5</v>
      </c>
      <c r="K11" s="20">
        <f>4*26.83</f>
        <v>107.32</v>
      </c>
      <c r="L11" s="21">
        <v>45698</v>
      </c>
      <c r="M11" s="16"/>
      <c r="N11" s="16" t="e">
        <f>#REF!</f>
        <v>#REF!</v>
      </c>
      <c r="O11" s="20">
        <v>229.405</v>
      </c>
      <c r="P11" s="20">
        <v>5046.91</v>
      </c>
    </row>
    <row r="12" spans="1:16" ht="14" customHeight="1" x14ac:dyDescent="0.2">
      <c r="B12" s="16" t="s">
        <v>38</v>
      </c>
      <c r="C12" s="16" t="e">
        <f t="array" ref="C12">_xlfn.XLOOKUP(#REF!,#REF!,#REF!)</f>
        <v>#REF!</v>
      </c>
      <c r="D12" s="16" t="e">
        <f t="array" ref="D12">_xlfn.XLOOKUP(#REF!,#REF!,#REF!)</f>
        <v>#REF!</v>
      </c>
      <c r="E12" s="16" t="s">
        <v>37</v>
      </c>
      <c r="F12" s="16" t="s">
        <v>36</v>
      </c>
      <c r="G12" s="17" t="e">
        <f t="array" ref="G12">_xlfn.XLOOKUP(#REF!,Table36[[#All],[Symbol]],Table36[[#All],[Security Description]])</f>
        <v>#REF!</v>
      </c>
      <c r="H12" s="18">
        <v>43837</v>
      </c>
      <c r="I12" s="19" t="e">
        <f>#REF!&amp;" "&amp;#REF!</f>
        <v>#REF!</v>
      </c>
      <c r="J12" s="16">
        <f>32/4</f>
        <v>8</v>
      </c>
      <c r="K12" s="20">
        <f>4*74.93</f>
        <v>299.72000000000003</v>
      </c>
      <c r="L12" s="21"/>
      <c r="M12" s="16"/>
      <c r="N12" s="16"/>
      <c r="O12" s="20" t="e">
        <f>IF(#REF!="Closed",#REF!/#REF!,"")</f>
        <v>#REF!</v>
      </c>
      <c r="P12" s="20"/>
    </row>
    <row r="13" spans="1:16" ht="14" customHeight="1" x14ac:dyDescent="0.2">
      <c r="B13" s="16" t="s">
        <v>34</v>
      </c>
      <c r="C13" s="16" t="e">
        <f t="array" ref="C13">_xlfn.XLOOKUP(#REF!,#REF!,#REF!)</f>
        <v>#REF!</v>
      </c>
      <c r="D13" s="16" t="e">
        <f t="array" ref="D13">_xlfn.XLOOKUP(#REF!,#REF!,#REF!)</f>
        <v>#REF!</v>
      </c>
      <c r="E13" s="16" t="s">
        <v>37</v>
      </c>
      <c r="F13" s="16" t="s">
        <v>36</v>
      </c>
      <c r="G13" s="17" t="e">
        <f t="array" ref="G13">_xlfn.XLOOKUP(#REF!,Table36[[#All],[Symbol]],Table36[[#All],[Security Description]])</f>
        <v>#REF!</v>
      </c>
      <c r="H13" s="18">
        <v>44365</v>
      </c>
      <c r="I13" s="19" t="e">
        <f>#REF!&amp;" "&amp;#REF!</f>
        <v>#REF!</v>
      </c>
      <c r="J13" s="16">
        <v>0.76300000000000001</v>
      </c>
      <c r="K13" s="20">
        <v>130.96</v>
      </c>
      <c r="L13" s="21"/>
      <c r="M13" s="16"/>
      <c r="N13" s="16"/>
      <c r="O13" s="20" t="e">
        <f>IF(#REF!="Closed",#REF!/#REF!,"")</f>
        <v>#REF!</v>
      </c>
      <c r="P13" s="20"/>
    </row>
    <row r="14" spans="1:16" ht="14" customHeight="1" x14ac:dyDescent="0.2">
      <c r="B14" s="16" t="s">
        <v>38</v>
      </c>
      <c r="C14" s="16" t="e">
        <f t="array" ref="C14">_xlfn.XLOOKUP(#REF!,#REF!,#REF!)</f>
        <v>#REF!</v>
      </c>
      <c r="D14" s="16" t="e">
        <f t="array" ref="D14">_xlfn.XLOOKUP(#REF!,#REF!,#REF!)</f>
        <v>#REF!</v>
      </c>
      <c r="E14" s="16" t="s">
        <v>37</v>
      </c>
      <c r="F14" s="16" t="s">
        <v>36</v>
      </c>
      <c r="G14" s="17" t="e">
        <f t="array" ref="G14">_xlfn.XLOOKUP(#REF!,Table36[[#All],[Symbol]],Table36[[#All],[Security Description]])</f>
        <v>#REF!</v>
      </c>
      <c r="H14" s="18">
        <v>44657</v>
      </c>
      <c r="I14" s="19" t="e">
        <f>#REF!&amp;" "&amp;#REF!</f>
        <v>#REF!</v>
      </c>
      <c r="J14" s="16">
        <v>29.268999999999998</v>
      </c>
      <c r="K14" s="20">
        <v>170.82</v>
      </c>
      <c r="L14" s="21"/>
      <c r="M14" s="16"/>
      <c r="N14" s="16"/>
      <c r="O14" s="20" t="e">
        <f>IF(#REF!="Closed",#REF!/#REF!,"")</f>
        <v>#REF!</v>
      </c>
      <c r="P14" s="20"/>
    </row>
    <row r="15" spans="1:16" ht="14" customHeight="1" x14ac:dyDescent="0.2">
      <c r="B15" s="16" t="s">
        <v>34</v>
      </c>
      <c r="C15" s="16" t="e">
        <f t="array" ref="C15">_xlfn.XLOOKUP(#REF!,#REF!,#REF!)</f>
        <v>#REF!</v>
      </c>
      <c r="D15" s="16" t="e">
        <f t="array" ref="D15">_xlfn.XLOOKUP(#REF!,#REF!,#REF!)</f>
        <v>#REF!</v>
      </c>
      <c r="E15" s="16" t="s">
        <v>37</v>
      </c>
      <c r="F15" s="16" t="s">
        <v>36</v>
      </c>
      <c r="G15" s="17" t="e">
        <f t="array" ref="G15">_xlfn.XLOOKUP(#REF!,Table36[[#All],[Symbol]],Table36[[#All],[Security Description]])</f>
        <v>#REF!</v>
      </c>
      <c r="H15" s="18">
        <v>44683</v>
      </c>
      <c r="I15" s="19" t="e">
        <f>#REF!&amp;" "&amp;#REF!</f>
        <v>#REF!</v>
      </c>
      <c r="J15" s="16">
        <f>32.491</f>
        <v>32.491</v>
      </c>
      <c r="K15" s="20">
        <v>153.88499999999999</v>
      </c>
      <c r="L15" s="21"/>
      <c r="M15" s="16"/>
      <c r="N15" s="16"/>
      <c r="O15" s="20" t="e">
        <f>IF(#REF!="Closed",#REF!/#REF!,"")</f>
        <v>#REF!</v>
      </c>
      <c r="P15" s="20"/>
    </row>
    <row r="16" spans="1:16" ht="14" customHeight="1" x14ac:dyDescent="0.2">
      <c r="B16" s="16" t="s">
        <v>34</v>
      </c>
      <c r="C16" s="16" t="e">
        <f t="array" ref="C16">_xlfn.XLOOKUP(#REF!,#REF!,#REF!)</f>
        <v>#REF!</v>
      </c>
      <c r="D16" s="16" t="e">
        <f t="array" ref="D16">_xlfn.XLOOKUP(#REF!,#REF!,#REF!)</f>
        <v>#REF!</v>
      </c>
      <c r="E16" s="16" t="s">
        <v>37</v>
      </c>
      <c r="F16" s="16" t="s">
        <v>36</v>
      </c>
      <c r="G16" s="17" t="e">
        <f t="array" ref="G16">_xlfn.XLOOKUP(#REF!,Table36[[#All],[Symbol]],Table36[[#All],[Security Description]])</f>
        <v>#REF!</v>
      </c>
      <c r="H16" s="18">
        <v>45022</v>
      </c>
      <c r="I16" s="19" t="e">
        <f>#REF!&amp;" "&amp;#REF!</f>
        <v>#REF!</v>
      </c>
      <c r="J16" s="16">
        <v>0.152</v>
      </c>
      <c r="K16" s="20">
        <v>164.47</v>
      </c>
      <c r="L16" s="21"/>
      <c r="M16" s="16"/>
      <c r="N16" s="16"/>
      <c r="O16" s="20" t="e">
        <f>IF(#REF!="Closed",#REF!/#REF!,"")</f>
        <v>#REF!</v>
      </c>
      <c r="P16" s="20"/>
    </row>
    <row r="17" spans="2:16" ht="14" customHeight="1" x14ac:dyDescent="0.2">
      <c r="B17" s="16" t="s">
        <v>34</v>
      </c>
      <c r="C17" s="16" t="e">
        <f t="array" ref="C17">_xlfn.XLOOKUP(#REF!,#REF!,#REF!)</f>
        <v>#REF!</v>
      </c>
      <c r="D17" s="16" t="e">
        <f t="array" ref="D17">_xlfn.XLOOKUP(#REF!,#REF!,#REF!)</f>
        <v>#REF!</v>
      </c>
      <c r="E17" s="16" t="s">
        <v>37</v>
      </c>
      <c r="F17" s="16" t="s">
        <v>36</v>
      </c>
      <c r="G17" s="17" t="e">
        <f t="array" ref="G17">_xlfn.XLOOKUP(#REF!,Table36[[#All],[Symbol]],Table36[[#All],[Security Description]])</f>
        <v>#REF!</v>
      </c>
      <c r="H17" s="18">
        <v>45079</v>
      </c>
      <c r="I17" s="19" t="e">
        <f>#REF!&amp;" "&amp;#REF!</f>
        <v>#REF!</v>
      </c>
      <c r="J17" s="16">
        <v>0.13800000000000001</v>
      </c>
      <c r="K17" s="20">
        <v>180.94</v>
      </c>
      <c r="L17" s="21"/>
      <c r="M17" s="16"/>
      <c r="N17" s="16"/>
      <c r="O17" s="20" t="e">
        <f>IF(#REF!="Closed",#REF!/#REF!,"")</f>
        <v>#REF!</v>
      </c>
      <c r="P17" s="20"/>
    </row>
    <row r="18" spans="2:16" ht="14" customHeight="1" x14ac:dyDescent="0.2">
      <c r="B18" s="16" t="s">
        <v>34</v>
      </c>
      <c r="C18" s="16" t="e">
        <f t="array" ref="C18">_xlfn.XLOOKUP(#REF!,#REF!,#REF!)</f>
        <v>#REF!</v>
      </c>
      <c r="D18" s="16" t="e">
        <f t="array" ref="D18">_xlfn.XLOOKUP(#REF!,#REF!,#REF!)</f>
        <v>#REF!</v>
      </c>
      <c r="E18" s="16" t="s">
        <v>37</v>
      </c>
      <c r="F18" s="16" t="s">
        <v>36</v>
      </c>
      <c r="G18" s="17" t="e">
        <f t="array" ref="G18">_xlfn.XLOOKUP(#REF!,Table36[[#All],[Symbol]],Table36[[#All],[Security Description]])</f>
        <v>#REF!</v>
      </c>
      <c r="H18" s="18">
        <v>45215</v>
      </c>
      <c r="I18" s="19" t="e">
        <f>#REF!&amp;" "&amp;#REF!</f>
        <v>#REF!</v>
      </c>
      <c r="J18" s="16">
        <v>0.252</v>
      </c>
      <c r="K18" s="20">
        <v>177.976</v>
      </c>
      <c r="L18" s="21"/>
      <c r="M18" s="16"/>
      <c r="N18" s="16"/>
      <c r="O18" s="20" t="e">
        <f>IF(#REF!="Closed",#REF!/#REF!,"")</f>
        <v>#REF!</v>
      </c>
      <c r="P18" s="20"/>
    </row>
    <row r="19" spans="2:16" ht="14" customHeight="1" x14ac:dyDescent="0.2">
      <c r="B19" s="16" t="s">
        <v>34</v>
      </c>
      <c r="C19" s="16" t="e">
        <f t="array" ref="C19">_xlfn.XLOOKUP(#REF!,#REF!,#REF!)</f>
        <v>#REF!</v>
      </c>
      <c r="D19" s="16" t="e">
        <f t="array" ref="D19">_xlfn.XLOOKUP(#REF!,#REF!,#REF!)</f>
        <v>#REF!</v>
      </c>
      <c r="E19" s="16" t="s">
        <v>37</v>
      </c>
      <c r="F19" s="16" t="s">
        <v>36</v>
      </c>
      <c r="G19" s="17" t="e">
        <f t="array" ref="G19">_xlfn.XLOOKUP(#REF!,Table36[[#All],[Symbol]],Table36[[#All],[Security Description]])</f>
        <v>#REF!</v>
      </c>
      <c r="H19" s="18">
        <v>45481</v>
      </c>
      <c r="I19" s="19" t="e">
        <f>#REF!&amp;" "&amp;#REF!</f>
        <v>#REF!</v>
      </c>
      <c r="J19" s="16">
        <v>22</v>
      </c>
      <c r="K19" s="20">
        <v>225.52</v>
      </c>
      <c r="L19" s="21"/>
      <c r="M19" s="16"/>
      <c r="N19" s="16"/>
      <c r="O19" s="20" t="e">
        <f>IF(#REF!="Closed",#REF!/#REF!,"")</f>
        <v>#REF!</v>
      </c>
      <c r="P19" s="20"/>
    </row>
    <row r="20" spans="2:16" ht="14" customHeight="1" x14ac:dyDescent="0.2">
      <c r="B20" s="16" t="s">
        <v>38</v>
      </c>
      <c r="C20" s="16" t="e">
        <f t="array" ref="C20">_xlfn.XLOOKUP(#REF!,#REF!,#REF!)</f>
        <v>#REF!</v>
      </c>
      <c r="D20" s="16" t="e">
        <f t="array" ref="D20">_xlfn.XLOOKUP(#REF!,#REF!,#REF!)</f>
        <v>#REF!</v>
      </c>
      <c r="E20" s="16" t="s">
        <v>37</v>
      </c>
      <c r="F20" s="16" t="s">
        <v>40</v>
      </c>
      <c r="G20" s="17" t="e">
        <f t="array" ref="G20">_xlfn.XLOOKUP(#REF!,Table36[[#All],[Symbol]],Table36[[#All],[Security Description]])</f>
        <v>#REF!</v>
      </c>
      <c r="H20" s="18">
        <v>41758</v>
      </c>
      <c r="I20" s="19" t="e">
        <f>#REF!&amp;" "&amp;#REF!</f>
        <v>#REF!</v>
      </c>
      <c r="J20" s="16">
        <v>1</v>
      </c>
      <c r="K20" s="20">
        <f>70*4.498</f>
        <v>314.86</v>
      </c>
      <c r="L20" s="21"/>
      <c r="M20" s="16"/>
      <c r="N20" s="16"/>
      <c r="O20" s="20" t="e">
        <f>IF(#REF!="Closed",#REF!/#REF!,"")</f>
        <v>#REF!</v>
      </c>
      <c r="P20" s="20"/>
    </row>
    <row r="21" spans="2:16" ht="14" customHeight="1" x14ac:dyDescent="0.2">
      <c r="B21" s="16" t="s">
        <v>38</v>
      </c>
      <c r="C21" s="16" t="e">
        <f t="array" ref="C21">_xlfn.XLOOKUP(#REF!,#REF!,#REF!)</f>
        <v>#REF!</v>
      </c>
      <c r="D21" s="16" t="e">
        <f t="array" ref="D21">_xlfn.XLOOKUP(#REF!,#REF!,#REF!)</f>
        <v>#REF!</v>
      </c>
      <c r="E21" s="16" t="s">
        <v>35</v>
      </c>
      <c r="F21" s="16" t="s">
        <v>40</v>
      </c>
      <c r="G21" s="17" t="e">
        <f t="array" ref="G21">_xlfn.XLOOKUP(#REF!,Table36[[#All],[Symbol]],Table36[[#All],[Security Description]])</f>
        <v>#REF!</v>
      </c>
      <c r="H21" s="18">
        <v>41758</v>
      </c>
      <c r="I21" s="19" t="e">
        <f>#REF!&amp;" "&amp;#REF!</f>
        <v>#REF!</v>
      </c>
      <c r="J21" s="16">
        <f>5/7</f>
        <v>0.7142857142857143</v>
      </c>
      <c r="K21" s="20">
        <f t="shared" ref="K21:K26" si="0">7*44.98</f>
        <v>314.85999999999996</v>
      </c>
      <c r="L21" s="21">
        <v>43143</v>
      </c>
      <c r="M21" s="16"/>
      <c r="N21" s="16">
        <v>5</v>
      </c>
      <c r="O21" s="20" t="e">
        <f>IF(#REF!="Closed",#REF!/#REF!,"")</f>
        <v>#REF!</v>
      </c>
      <c r="P21" s="20">
        <v>1275.74</v>
      </c>
    </row>
    <row r="22" spans="2:16" ht="14" customHeight="1" x14ac:dyDescent="0.2">
      <c r="B22" s="16" t="s">
        <v>38</v>
      </c>
      <c r="C22" s="16" t="e">
        <f t="array" ref="C22">_xlfn.XLOOKUP(#REF!,#REF!,#REF!)</f>
        <v>#REF!</v>
      </c>
      <c r="D22" s="16" t="e">
        <f t="array" ref="D22">_xlfn.XLOOKUP(#REF!,#REF!,#REF!)</f>
        <v>#REF!</v>
      </c>
      <c r="E22" s="16" t="s">
        <v>35</v>
      </c>
      <c r="F22" s="16" t="s">
        <v>40</v>
      </c>
      <c r="G22" s="17" t="e">
        <f t="array" ref="G22">_xlfn.XLOOKUP(#REF!,Table36[[#All],[Symbol]],Table36[[#All],[Security Description]])</f>
        <v>#REF!</v>
      </c>
      <c r="H22" s="18">
        <v>41758</v>
      </c>
      <c r="I22" s="19" t="e">
        <f>#REF!&amp;" "&amp;#REF!</f>
        <v>#REF!</v>
      </c>
      <c r="J22" s="16">
        <f>2/7</f>
        <v>0.2857142857142857</v>
      </c>
      <c r="K22" s="20">
        <f t="shared" si="0"/>
        <v>314.85999999999996</v>
      </c>
      <c r="L22" s="21">
        <v>44406</v>
      </c>
      <c r="M22" s="16" t="s">
        <v>39</v>
      </c>
      <c r="N22" s="16">
        <v>2</v>
      </c>
      <c r="O22" s="20" t="e">
        <f>IF(#REF!="Closed",#REF!/#REF!,"")</f>
        <v>#REF!</v>
      </c>
      <c r="P22" s="20">
        <v>1028.5</v>
      </c>
    </row>
    <row r="23" spans="2:16" ht="14" customHeight="1" x14ac:dyDescent="0.2">
      <c r="B23" s="16" t="s">
        <v>38</v>
      </c>
      <c r="C23" s="16" t="e">
        <f t="array" ref="C23">_xlfn.XLOOKUP(#REF!,#REF!,#REF!)</f>
        <v>#REF!</v>
      </c>
      <c r="D23" s="16" t="e">
        <f t="array" ref="D23">_xlfn.XLOOKUP(#REF!,#REF!,#REF!)</f>
        <v>#REF!</v>
      </c>
      <c r="E23" s="16" t="s">
        <v>35</v>
      </c>
      <c r="F23" s="16" t="s">
        <v>40</v>
      </c>
      <c r="G23" s="17" t="e">
        <f t="array" ref="G23">_xlfn.XLOOKUP(#REF!,Table36[[#All],[Symbol]],Table36[[#All],[Security Description]])</f>
        <v>#REF!</v>
      </c>
      <c r="H23" s="18">
        <v>41758</v>
      </c>
      <c r="I23" s="19" t="e">
        <f>#REF!&amp;" "&amp;#REF!</f>
        <v>#REF!</v>
      </c>
      <c r="J23" s="16">
        <f>2/7</f>
        <v>0.2857142857142857</v>
      </c>
      <c r="K23" s="20">
        <f t="shared" si="0"/>
        <v>314.85999999999996</v>
      </c>
      <c r="L23" s="21">
        <v>44564</v>
      </c>
      <c r="M23" s="16" t="s">
        <v>39</v>
      </c>
      <c r="N23" s="16">
        <v>2</v>
      </c>
      <c r="O23" s="20" t="e">
        <f>IF(#REF!="Closed",#REF!/#REF!,"")</f>
        <v>#REF!</v>
      </c>
      <c r="P23" s="20">
        <v>1194.74</v>
      </c>
    </row>
    <row r="24" spans="2:16" ht="14" customHeight="1" x14ac:dyDescent="0.2">
      <c r="B24" s="16" t="s">
        <v>38</v>
      </c>
      <c r="C24" s="16" t="e">
        <f t="array" ref="C24">_xlfn.XLOOKUP(#REF!,#REF!,#REF!)</f>
        <v>#REF!</v>
      </c>
      <c r="D24" s="16" t="e">
        <f t="array" ref="D24">_xlfn.XLOOKUP(#REF!,#REF!,#REF!)</f>
        <v>#REF!</v>
      </c>
      <c r="E24" s="16" t="s">
        <v>35</v>
      </c>
      <c r="F24" s="16" t="s">
        <v>40</v>
      </c>
      <c r="G24" s="17" t="e">
        <f t="array" ref="G24">_xlfn.XLOOKUP(#REF!,Table36[[#All],[Symbol]],Table36[[#All],[Security Description]])</f>
        <v>#REF!</v>
      </c>
      <c r="H24" s="18">
        <v>41758</v>
      </c>
      <c r="I24" s="19" t="e">
        <f>#REF!&amp;" "&amp;#REF!</f>
        <v>#REF!</v>
      </c>
      <c r="J24" s="16">
        <f>2/7</f>
        <v>0.2857142857142857</v>
      </c>
      <c r="K24" s="20">
        <f t="shared" si="0"/>
        <v>314.85999999999996</v>
      </c>
      <c r="L24" s="21">
        <v>45148</v>
      </c>
      <c r="M24" s="16" t="s">
        <v>39</v>
      </c>
      <c r="N24" s="16">
        <v>2</v>
      </c>
      <c r="O24" s="20">
        <v>429.98</v>
      </c>
      <c r="P24" s="20">
        <v>859.96</v>
      </c>
    </row>
    <row r="25" spans="2:16" ht="14" customHeight="1" x14ac:dyDescent="0.2">
      <c r="B25" s="16" t="s">
        <v>38</v>
      </c>
      <c r="C25" s="16" t="e">
        <f t="array" ref="C25">_xlfn.XLOOKUP(#REF!,#REF!,#REF!)</f>
        <v>#REF!</v>
      </c>
      <c r="D25" s="16" t="e">
        <f t="array" ref="D25">_xlfn.XLOOKUP(#REF!,#REF!,#REF!)</f>
        <v>#REF!</v>
      </c>
      <c r="E25" s="16" t="s">
        <v>35</v>
      </c>
      <c r="F25" s="16" t="s">
        <v>40</v>
      </c>
      <c r="G25" s="17" t="e">
        <f t="array" ref="G25">_xlfn.XLOOKUP(#REF!,Table36[[#All],[Symbol]],Table36[[#All],[Security Description]])</f>
        <v>#REF!</v>
      </c>
      <c r="H25" s="18">
        <v>41758</v>
      </c>
      <c r="I25" s="19" t="e">
        <f>#REF!&amp;" "&amp;#REF!</f>
        <v>#REF!</v>
      </c>
      <c r="J25" s="16">
        <f>2/7</f>
        <v>0.2857142857142857</v>
      </c>
      <c r="K25" s="20">
        <f t="shared" si="0"/>
        <v>314.85999999999996</v>
      </c>
      <c r="L25" s="21">
        <v>45608</v>
      </c>
      <c r="M25" s="16" t="s">
        <v>39</v>
      </c>
      <c r="N25" s="16">
        <v>2</v>
      </c>
      <c r="O25" s="20" t="e">
        <f>IF(#REF!="Closed",#REF!/#REF!,"")</f>
        <v>#REF!</v>
      </c>
      <c r="P25" s="20">
        <v>1625.21</v>
      </c>
    </row>
    <row r="26" spans="2:16" ht="14" customHeight="1" x14ac:dyDescent="0.2">
      <c r="B26" s="16" t="s">
        <v>38</v>
      </c>
      <c r="C26" s="16" t="e">
        <f t="array" ref="C26">_xlfn.XLOOKUP(#REF!,#REF!,#REF!)</f>
        <v>#REF!</v>
      </c>
      <c r="D26" s="16" t="e">
        <f t="array" ref="D26">_xlfn.XLOOKUP(#REF!,#REF!,#REF!)</f>
        <v>#REF!</v>
      </c>
      <c r="E26" s="16" t="s">
        <v>35</v>
      </c>
      <c r="F26" s="16" t="s">
        <v>40</v>
      </c>
      <c r="G26" s="17" t="e">
        <f t="array" ref="G26">_xlfn.XLOOKUP(#REF!,Table36[[#All],[Symbol]],Table36[[#All],[Security Description]])</f>
        <v>#REF!</v>
      </c>
      <c r="H26" s="18">
        <v>41758</v>
      </c>
      <c r="I26" s="19" t="e">
        <f>#REF!&amp;" "&amp;#REF!</f>
        <v>#REF!</v>
      </c>
      <c r="J26" s="16">
        <f>1/7</f>
        <v>0.14285714285714285</v>
      </c>
      <c r="K26" s="20">
        <f t="shared" si="0"/>
        <v>314.85999999999996</v>
      </c>
      <c r="L26" s="21">
        <v>45680</v>
      </c>
      <c r="M26" s="16" t="s">
        <v>39</v>
      </c>
      <c r="N26" s="16">
        <v>1</v>
      </c>
      <c r="O26" s="20" t="e">
        <f>IF(#REF!="Closed",#REF!/#REF!,"")</f>
        <v>#REF!</v>
      </c>
      <c r="P26" s="20">
        <v>984.86</v>
      </c>
    </row>
    <row r="27" spans="2:16" ht="14" customHeight="1" x14ac:dyDescent="0.2">
      <c r="B27" s="16" t="s">
        <v>38</v>
      </c>
      <c r="C27" s="16" t="e">
        <f t="array" ref="C27">_xlfn.XLOOKUP(#REF!,#REF!,#REF!)</f>
        <v>#REF!</v>
      </c>
      <c r="D27" s="16" t="e">
        <f t="array" ref="D27">_xlfn.XLOOKUP(#REF!,#REF!,#REF!)</f>
        <v>#REF!</v>
      </c>
      <c r="E27" s="16" t="s">
        <v>37</v>
      </c>
      <c r="F27" s="16" t="s">
        <v>40</v>
      </c>
      <c r="G27" s="17" t="e">
        <f t="array" ref="G27">_xlfn.XLOOKUP(#REF!,Table36[[#All],[Symbol]],Table36[[#All],[Security Description]])</f>
        <v>#REF!</v>
      </c>
      <c r="H27" s="18">
        <v>41807</v>
      </c>
      <c r="I27" s="19" t="e">
        <f>#REF!&amp;" "&amp;#REF!</f>
        <v>#REF!</v>
      </c>
      <c r="J27" s="16">
        <f>10/70</f>
        <v>0.14285714285714285</v>
      </c>
      <c r="K27" s="20">
        <f>70*6.314</f>
        <v>441.98</v>
      </c>
      <c r="L27" s="21"/>
      <c r="M27" s="16"/>
      <c r="N27" s="16"/>
      <c r="O27" s="20" t="e">
        <f>IF(#REF!="Closed",#REF!/#REF!,"")</f>
        <v>#REF!</v>
      </c>
      <c r="P27" s="20"/>
    </row>
    <row r="28" spans="2:16" ht="14" customHeight="1" x14ac:dyDescent="0.2">
      <c r="B28" s="16" t="s">
        <v>38</v>
      </c>
      <c r="C28" s="16" t="e">
        <f t="array" ref="C28">_xlfn.XLOOKUP(#REF!,#REF!,#REF!)</f>
        <v>#REF!</v>
      </c>
      <c r="D28" s="16" t="e">
        <f t="array" ref="D28">_xlfn.XLOOKUP(#REF!,#REF!,#REF!)</f>
        <v>#REF!</v>
      </c>
      <c r="E28" s="16" t="s">
        <v>35</v>
      </c>
      <c r="F28" s="16" t="s">
        <v>40</v>
      </c>
      <c r="G28" s="17" t="e">
        <f t="array" ref="G28">_xlfn.XLOOKUP(#REF!,Table36[[#All],[Symbol]],Table36[[#All],[Security Description]])</f>
        <v>#REF!</v>
      </c>
      <c r="H28" s="18">
        <v>41807</v>
      </c>
      <c r="I28" s="19" t="e">
        <f>#REF!&amp;" "&amp;#REF!</f>
        <v>#REF!</v>
      </c>
      <c r="J28" s="16">
        <f>3/7</f>
        <v>0.42857142857142855</v>
      </c>
      <c r="K28" s="20">
        <f>7*63.14</f>
        <v>441.98</v>
      </c>
      <c r="L28" s="21">
        <v>44074</v>
      </c>
      <c r="M28" s="16"/>
      <c r="N28" s="16">
        <v>3</v>
      </c>
      <c r="O28" s="20" t="e">
        <f>IF(#REF!="Closed",#REF!/#REF!,"")</f>
        <v>#REF!</v>
      </c>
      <c r="P28" s="20">
        <v>1568.75</v>
      </c>
    </row>
    <row r="29" spans="2:16" ht="14" customHeight="1" x14ac:dyDescent="0.2">
      <c r="B29" s="16" t="s">
        <v>38</v>
      </c>
      <c r="C29" s="16" t="e">
        <f t="array" ref="C29">_xlfn.XLOOKUP(#REF!,#REF!,#REF!)</f>
        <v>#REF!</v>
      </c>
      <c r="D29" s="16" t="e">
        <f t="array" ref="D29">_xlfn.XLOOKUP(#REF!,#REF!,#REF!)</f>
        <v>#REF!</v>
      </c>
      <c r="E29" s="16" t="s">
        <v>35</v>
      </c>
      <c r="F29" s="16" t="s">
        <v>40</v>
      </c>
      <c r="G29" s="17" t="e">
        <f t="array" ref="G29">_xlfn.XLOOKUP(#REF!,Table36[[#All],[Symbol]],Table36[[#All],[Security Description]])</f>
        <v>#REF!</v>
      </c>
      <c r="H29" s="18">
        <v>41807</v>
      </c>
      <c r="I29" s="19" t="e">
        <f>#REF!&amp;" "&amp;#REF!</f>
        <v>#REF!</v>
      </c>
      <c r="J29" s="16">
        <f>10/7</f>
        <v>1.4285714285714286</v>
      </c>
      <c r="K29" s="20">
        <f>7*63.14</f>
        <v>441.98</v>
      </c>
      <c r="L29" s="21">
        <v>44074</v>
      </c>
      <c r="M29" s="16"/>
      <c r="N29" s="16">
        <v>10</v>
      </c>
      <c r="O29" s="20" t="e">
        <f>IF(#REF!="Closed",#REF!/#REF!,"")</f>
        <v>#REF!</v>
      </c>
      <c r="P29" s="20">
        <v>5296.68</v>
      </c>
    </row>
    <row r="30" spans="2:16" ht="14" customHeight="1" x14ac:dyDescent="0.2">
      <c r="B30" s="16" t="s">
        <v>38</v>
      </c>
      <c r="C30" s="16" t="e">
        <f t="array" ref="C30">_xlfn.XLOOKUP(#REF!,#REF!,#REF!)</f>
        <v>#REF!</v>
      </c>
      <c r="D30" s="16" t="e">
        <f t="array" ref="D30">_xlfn.XLOOKUP(#REF!,#REF!,#REF!)</f>
        <v>#REF!</v>
      </c>
      <c r="E30" s="16" t="s">
        <v>37</v>
      </c>
      <c r="F30" s="16" t="s">
        <v>40</v>
      </c>
      <c r="G30" s="17" t="e">
        <f t="array" ref="G30">_xlfn.XLOOKUP(#REF!,Table36[[#All],[Symbol]],Table36[[#All],[Security Description]])</f>
        <v>#REF!</v>
      </c>
      <c r="H30" s="18">
        <v>41988</v>
      </c>
      <c r="I30" s="19" t="e">
        <f>#REF!&amp;" "&amp;#REF!</f>
        <v>#REF!</v>
      </c>
      <c r="J30" s="16">
        <f>35/7</f>
        <v>5</v>
      </c>
      <c r="K30" s="20">
        <f>70*4.797</f>
        <v>335.78999999999996</v>
      </c>
      <c r="L30" s="21"/>
      <c r="M30" s="16"/>
      <c r="N30" s="16"/>
      <c r="O30" s="20" t="e">
        <f>IF(#REF!="Closed",#REF!/#REF!,"")</f>
        <v>#REF!</v>
      </c>
      <c r="P30" s="20"/>
    </row>
    <row r="31" spans="2:16" ht="14" customHeight="1" x14ac:dyDescent="0.2">
      <c r="B31" s="16" t="s">
        <v>38</v>
      </c>
      <c r="C31" s="16" t="e">
        <f t="array" ref="C31">_xlfn.XLOOKUP(#REF!,#REF!,#REF!)</f>
        <v>#REF!</v>
      </c>
      <c r="D31" s="16" t="e">
        <f t="array" ref="D31">_xlfn.XLOOKUP(#REF!,#REF!,#REF!)</f>
        <v>#REF!</v>
      </c>
      <c r="E31" s="16" t="s">
        <v>35</v>
      </c>
      <c r="F31" s="16" t="s">
        <v>40</v>
      </c>
      <c r="G31" s="17" t="e">
        <f t="array" ref="G31">_xlfn.XLOOKUP(#REF!,Table36[[#All],[Symbol]],Table36[[#All],[Security Description]])</f>
        <v>#REF!</v>
      </c>
      <c r="H31" s="18">
        <v>42944</v>
      </c>
      <c r="I31" s="19" t="e">
        <f>#REF!&amp;" "&amp;#REF!</f>
        <v>#REF!</v>
      </c>
      <c r="J31" s="16">
        <v>16</v>
      </c>
      <c r="K31" s="20">
        <v>184.55312499999999</v>
      </c>
      <c r="L31" s="21">
        <v>44074</v>
      </c>
      <c r="M31" s="16"/>
      <c r="N31" s="16">
        <v>16</v>
      </c>
      <c r="O31" s="20" t="e">
        <f>IF(#REF!="Closed",#REF!/#REF!,"")</f>
        <v>#REF!</v>
      </c>
      <c r="P31" s="20">
        <v>8366.65</v>
      </c>
    </row>
    <row r="32" spans="2:16" ht="14" customHeight="1" x14ac:dyDescent="0.2">
      <c r="B32" s="16" t="s">
        <v>38</v>
      </c>
      <c r="C32" s="16" t="e">
        <f t="array" ref="C32">_xlfn.XLOOKUP(#REF!,#REF!,#REF!)</f>
        <v>#REF!</v>
      </c>
      <c r="D32" s="16" t="e">
        <f t="array" ref="D32">_xlfn.XLOOKUP(#REF!,#REF!,#REF!)</f>
        <v>#REF!</v>
      </c>
      <c r="E32" s="16" t="s">
        <v>35</v>
      </c>
      <c r="F32" s="16" t="s">
        <v>40</v>
      </c>
      <c r="G32" s="17" t="e">
        <f t="array" ref="G32">_xlfn.XLOOKUP(#REF!,Table36[[#All],[Symbol]],Table36[[#All],[Security Description]])</f>
        <v>#REF!</v>
      </c>
      <c r="H32" s="18">
        <v>42944</v>
      </c>
      <c r="I32" s="19" t="e">
        <f>#REF!&amp;" "&amp;#REF!</f>
        <v>#REF!</v>
      </c>
      <c r="J32" s="16">
        <v>16</v>
      </c>
      <c r="K32" s="20">
        <v>184.55312499999999</v>
      </c>
      <c r="L32" s="21">
        <v>44074</v>
      </c>
      <c r="M32" s="16"/>
      <c r="N32" s="16">
        <v>16</v>
      </c>
      <c r="O32" s="20" t="e">
        <f>IF(#REF!="Closed",#REF!/#REF!,"")</f>
        <v>#REF!</v>
      </c>
      <c r="P32" s="20">
        <v>8366.65</v>
      </c>
    </row>
    <row r="33" spans="2:16" ht="14" customHeight="1" x14ac:dyDescent="0.2">
      <c r="B33" s="16" t="s">
        <v>38</v>
      </c>
      <c r="C33" s="16" t="e">
        <f t="array" ref="C33">_xlfn.XLOOKUP(#REF!,#REF!,#REF!)</f>
        <v>#REF!</v>
      </c>
      <c r="D33" s="16" t="e">
        <f t="array" ref="D33">_xlfn.XLOOKUP(#REF!,#REF!,#REF!)</f>
        <v>#REF!</v>
      </c>
      <c r="E33" s="16" t="s">
        <v>35</v>
      </c>
      <c r="F33" s="16" t="s">
        <v>40</v>
      </c>
      <c r="G33" s="17" t="e">
        <f t="array" ref="G33">_xlfn.XLOOKUP(#REF!,Table36[[#All],[Symbol]],Table36[[#All],[Security Description]])</f>
        <v>#REF!</v>
      </c>
      <c r="H33" s="18">
        <v>43837</v>
      </c>
      <c r="I33" s="19" t="e">
        <f>#REF!&amp;" "&amp;#REF!</f>
        <v>#REF!</v>
      </c>
      <c r="J33" s="16">
        <v>8</v>
      </c>
      <c r="K33" s="20">
        <v>333.13</v>
      </c>
      <c r="L33" s="21">
        <v>44074</v>
      </c>
      <c r="M33" s="16"/>
      <c r="N33" s="16">
        <v>8</v>
      </c>
      <c r="O33" s="20" t="e">
        <f>IF(#REF!="Closed",#REF!/#REF!,"")</f>
        <v>#REF!</v>
      </c>
      <c r="P33" s="20">
        <v>4183.33</v>
      </c>
    </row>
    <row r="34" spans="2:16" ht="14" customHeight="1" x14ac:dyDescent="0.2">
      <c r="B34" s="16" t="s">
        <v>38</v>
      </c>
      <c r="C34" s="16" t="e">
        <f t="array" ref="C34">_xlfn.XLOOKUP(#REF!,#REF!,#REF!)</f>
        <v>#REF!</v>
      </c>
      <c r="D34" s="16" t="e">
        <f t="array" ref="D34">_xlfn.XLOOKUP(#REF!,#REF!,#REF!)</f>
        <v>#REF!</v>
      </c>
      <c r="E34" s="16" t="s">
        <v>37</v>
      </c>
      <c r="F34" s="16" t="s">
        <v>40</v>
      </c>
      <c r="G34" s="17" t="e">
        <f t="array" ref="G34">_xlfn.XLOOKUP(#REF!,Table36[[#All],[Symbol]],Table36[[#All],[Security Description]])</f>
        <v>#REF!</v>
      </c>
      <c r="H34" s="18">
        <v>44021</v>
      </c>
      <c r="I34" s="19" t="e">
        <f>#REF!&amp;" "&amp;#REF!</f>
        <v>#REF!</v>
      </c>
      <c r="J34" s="16">
        <f>10</f>
        <v>10</v>
      </c>
      <c r="K34" s="20">
        <f>10*50.473</f>
        <v>504.73</v>
      </c>
      <c r="L34" s="21"/>
      <c r="M34" s="16"/>
      <c r="N34" s="16"/>
      <c r="O34" s="20" t="e">
        <f>IF(#REF!="Closed",#REF!/#REF!,"")</f>
        <v>#REF!</v>
      </c>
      <c r="P34" s="20"/>
    </row>
    <row r="35" spans="2:16" ht="14" customHeight="1" x14ac:dyDescent="0.2">
      <c r="B35" s="16" t="s">
        <v>38</v>
      </c>
      <c r="C35" s="16" t="e">
        <f t="array" ref="C35">_xlfn.XLOOKUP(#REF!,#REF!,#REF!)</f>
        <v>#REF!</v>
      </c>
      <c r="D35" s="16" t="e">
        <f t="array" ref="D35">_xlfn.XLOOKUP(#REF!,#REF!,#REF!)</f>
        <v>#REF!</v>
      </c>
      <c r="E35" s="16" t="s">
        <v>37</v>
      </c>
      <c r="F35" s="16" t="s">
        <v>40</v>
      </c>
      <c r="G35" s="17" t="e">
        <f t="array" ref="G35">_xlfn.XLOOKUP(#REF!,Table36[[#All],[Symbol]],Table36[[#All],[Security Description]])</f>
        <v>#REF!</v>
      </c>
      <c r="H35" s="18">
        <v>44564</v>
      </c>
      <c r="I35" s="19" t="e">
        <f>#REF!&amp;" "&amp;#REF!</f>
        <v>#REF!</v>
      </c>
      <c r="J35" s="16">
        <f>2</f>
        <v>2</v>
      </c>
      <c r="K35" s="20">
        <f>10*60.561</f>
        <v>605.61</v>
      </c>
      <c r="L35" s="21"/>
      <c r="M35" s="16"/>
      <c r="N35" s="16"/>
      <c r="O35" s="20" t="e">
        <f>IF(#REF!="Closed",#REF!/#REF!,"")</f>
        <v>#REF!</v>
      </c>
      <c r="P35" s="20"/>
    </row>
    <row r="36" spans="2:16" ht="14" customHeight="1" x14ac:dyDescent="0.2">
      <c r="B36" s="16" t="s">
        <v>41</v>
      </c>
      <c r="C36" s="16" t="e">
        <f t="array" ref="C36">_xlfn.XLOOKUP(#REF!,#REF!,#REF!)</f>
        <v>#REF!</v>
      </c>
      <c r="D36" s="16" t="e">
        <f t="array" ref="D36">_xlfn.XLOOKUP(#REF!,#REF!,#REF!)</f>
        <v>#REF!</v>
      </c>
      <c r="E36" s="16" t="s">
        <v>37</v>
      </c>
      <c r="F36" s="16" t="s">
        <v>42</v>
      </c>
      <c r="G36" s="17" t="e">
        <f t="array" ref="G36">_xlfn.XLOOKUP(#REF!,Table36[[#All],[Symbol]],Table36[[#All],[Security Description]])</f>
        <v>#REF!</v>
      </c>
      <c r="H36" s="18">
        <v>45916</v>
      </c>
      <c r="I36" s="19" t="e">
        <f>#REF!&amp;" "&amp;#REF!</f>
        <v>#REF!</v>
      </c>
      <c r="J36" s="16">
        <v>0.16400000000000001</v>
      </c>
      <c r="K36" s="20">
        <v>607.01</v>
      </c>
      <c r="L36" s="21"/>
      <c r="M36" s="16"/>
      <c r="N36" s="16"/>
      <c r="O36" s="20" t="e">
        <f>IF(#REF!="Closed",#REF!/#REF!,"")</f>
        <v>#REF!</v>
      </c>
      <c r="P36" s="20"/>
    </row>
    <row r="37" spans="2:16" ht="14" customHeight="1" x14ac:dyDescent="0.2">
      <c r="B37" s="16" t="s">
        <v>41</v>
      </c>
      <c r="C37" s="16" t="e">
        <f t="array" ref="C37">_xlfn.XLOOKUP(#REF!,#REF!,#REF!)</f>
        <v>#REF!</v>
      </c>
      <c r="D37" s="16" t="e">
        <f t="array" ref="D37">_xlfn.XLOOKUP(#REF!,#REF!,#REF!)</f>
        <v>#REF!</v>
      </c>
      <c r="E37" s="16" t="s">
        <v>37</v>
      </c>
      <c r="F37" s="16" t="s">
        <v>42</v>
      </c>
      <c r="G37" s="17" t="e">
        <f t="array" ref="G37">_xlfn.XLOOKUP(#REF!,Table36[[#All],[Symbol]],Table36[[#All],[Security Description]])</f>
        <v>#REF!</v>
      </c>
      <c r="H37" s="18">
        <v>45917</v>
      </c>
      <c r="I37" s="19" t="e">
        <f>#REF!&amp;" "&amp;#REF!</f>
        <v>#REF!</v>
      </c>
      <c r="J37" s="16">
        <v>0.65900000000000003</v>
      </c>
      <c r="K37" s="20">
        <v>606.4</v>
      </c>
      <c r="L37" s="21"/>
      <c r="M37" s="16"/>
      <c r="N37" s="16"/>
      <c r="O37" s="20" t="e">
        <f>IF(#REF!="Closed",#REF!/#REF!,"")</f>
        <v>#REF!</v>
      </c>
      <c r="P37" s="20"/>
    </row>
    <row r="38" spans="2:16" ht="14" customHeight="1" x14ac:dyDescent="0.2">
      <c r="B38" s="16" t="s">
        <v>41</v>
      </c>
      <c r="C38" s="16" t="e">
        <f t="array" ref="C38">_xlfn.XLOOKUP(#REF!,#REF!,#REF!)</f>
        <v>#REF!</v>
      </c>
      <c r="D38" s="16" t="e">
        <f t="array" ref="D38">_xlfn.XLOOKUP(#REF!,#REF!,#REF!)</f>
        <v>#REF!</v>
      </c>
      <c r="E38" s="16" t="s">
        <v>37</v>
      </c>
      <c r="F38" s="16" t="s">
        <v>42</v>
      </c>
      <c r="G38" s="17" t="e">
        <f t="array" ref="G38">_xlfn.XLOOKUP(#REF!,Table36[[#All],[Symbol]],Table36[[#All],[Security Description]])</f>
        <v>#REF!</v>
      </c>
      <c r="H38" s="18">
        <v>45919</v>
      </c>
      <c r="I38" s="19" t="e">
        <f>#REF!&amp;" "&amp;#REF!</f>
        <v>#REF!</v>
      </c>
      <c r="J38" s="16">
        <v>0.04</v>
      </c>
      <c r="K38" s="20">
        <v>610.25</v>
      </c>
      <c r="L38" s="21"/>
      <c r="M38" s="16"/>
      <c r="N38" s="16"/>
      <c r="O38" s="20" t="e">
        <f>IF(#REF!="Closed",#REF!/#REF!,"")</f>
        <v>#REF!</v>
      </c>
      <c r="P38" s="20"/>
    </row>
    <row r="39" spans="2:16" ht="14" customHeight="1" x14ac:dyDescent="0.2">
      <c r="B39" s="16" t="s">
        <v>41</v>
      </c>
      <c r="C39" s="16" t="e">
        <f t="array" ref="C39">_xlfn.XLOOKUP(#REF!,#REF!,#REF!)</f>
        <v>#REF!</v>
      </c>
      <c r="D39" s="16" t="e">
        <f t="array" ref="D39">_xlfn.XLOOKUP(#REF!,#REF!,#REF!)</f>
        <v>#REF!</v>
      </c>
      <c r="E39" s="16" t="s">
        <v>37</v>
      </c>
      <c r="F39" s="16" t="s">
        <v>42</v>
      </c>
      <c r="G39" s="17" t="e">
        <f t="array" ref="G39">_xlfn.XLOOKUP(#REF!,Table36[[#All],[Symbol]],Table36[[#All],[Security Description]])</f>
        <v>#REF!</v>
      </c>
      <c r="H39" s="18">
        <v>45923</v>
      </c>
      <c r="I39" s="19" t="e">
        <f>#REF!&amp;" "&amp;#REF!</f>
        <v>#REF!</v>
      </c>
      <c r="J39" s="16">
        <v>0.16200000000000001</v>
      </c>
      <c r="K39" s="20">
        <v>614.92999999999995</v>
      </c>
      <c r="L39" s="21"/>
      <c r="M39" s="16"/>
      <c r="N39" s="16"/>
      <c r="O39" s="20" t="e">
        <f>IF(#REF!="Closed",#REF!/#REF!,"")</f>
        <v>#REF!</v>
      </c>
      <c r="P39" s="20"/>
    </row>
    <row r="40" spans="2:16" ht="14" customHeight="1" x14ac:dyDescent="0.2">
      <c r="B40" s="16" t="s">
        <v>41</v>
      </c>
      <c r="C40" s="16" t="e">
        <f t="array" ref="C40">_xlfn.XLOOKUP(#REF!,#REF!,#REF!)</f>
        <v>#REF!</v>
      </c>
      <c r="D40" s="16" t="e">
        <f t="array" ref="D40">_xlfn.XLOOKUP(#REF!,#REF!,#REF!)</f>
        <v>#REF!</v>
      </c>
      <c r="E40" s="16" t="s">
        <v>37</v>
      </c>
      <c r="F40" s="16" t="s">
        <v>42</v>
      </c>
      <c r="G40" s="17" t="e">
        <f t="array" ref="G40">_xlfn.XLOOKUP(#REF!,Table36[[#All],[Symbol]],Table36[[#All],[Security Description]])</f>
        <v>#REF!</v>
      </c>
      <c r="H40" s="18">
        <v>45924</v>
      </c>
      <c r="I40" s="19" t="e">
        <f>#REF!&amp;" "&amp;#REF!</f>
        <v>#REF!</v>
      </c>
      <c r="J40" s="16">
        <v>0.65400000000000003</v>
      </c>
      <c r="K40" s="20">
        <v>611.30999999999995</v>
      </c>
      <c r="L40" s="21"/>
      <c r="M40" s="16"/>
      <c r="N40" s="16"/>
      <c r="O40" s="20" t="e">
        <f>IF(#REF!="Closed",#REF!/#REF!,"")</f>
        <v>#REF!</v>
      </c>
      <c r="P40" s="20"/>
    </row>
    <row r="41" spans="2:16" ht="14" customHeight="1" x14ac:dyDescent="0.2">
      <c r="B41" s="16" t="s">
        <v>41</v>
      </c>
      <c r="C41" s="16" t="e">
        <f t="array" ref="C41">_xlfn.XLOOKUP(#REF!,#REF!,#REF!)</f>
        <v>#REF!</v>
      </c>
      <c r="D41" s="16" t="e">
        <f t="array" ref="D41">_xlfn.XLOOKUP(#REF!,#REF!,#REF!)</f>
        <v>#REF!</v>
      </c>
      <c r="E41" s="16" t="s">
        <v>37</v>
      </c>
      <c r="F41" s="16" t="s">
        <v>42</v>
      </c>
      <c r="G41" s="17" t="e">
        <f t="array" ref="G41">_xlfn.XLOOKUP(#REF!,Table36[[#All],[Symbol]],Table36[[#All],[Security Description]])</f>
        <v>#REF!</v>
      </c>
      <c r="H41" s="18">
        <v>45926</v>
      </c>
      <c r="I41" s="19" t="e">
        <f>#REF!&amp;" "&amp;#REF!</f>
        <v>#REF!</v>
      </c>
      <c r="J41" s="16">
        <v>0.04</v>
      </c>
      <c r="K41" s="20">
        <v>610.25</v>
      </c>
      <c r="L41" s="21"/>
      <c r="M41" s="16"/>
      <c r="N41" s="16"/>
      <c r="O41" s="20" t="e">
        <f>IF(#REF!="Closed",#REF!/#REF!,"")</f>
        <v>#REF!</v>
      </c>
      <c r="P41" s="20"/>
    </row>
    <row r="42" spans="2:16" ht="14" customHeight="1" x14ac:dyDescent="0.2">
      <c r="B42" s="16" t="s">
        <v>41</v>
      </c>
      <c r="C42" s="16" t="e">
        <f t="array" ref="C42">_xlfn.XLOOKUP(#REF!,#REF!,#REF!)</f>
        <v>#REF!</v>
      </c>
      <c r="D42" s="16" t="e">
        <f t="array" ref="D42">_xlfn.XLOOKUP(#REF!,#REF!,#REF!)</f>
        <v>#REF!</v>
      </c>
      <c r="E42" s="16" t="s">
        <v>37</v>
      </c>
      <c r="F42" s="16" t="s">
        <v>42</v>
      </c>
      <c r="G42" s="17" t="e">
        <f t="array" ref="G42">_xlfn.XLOOKUP(#REF!,Table36[[#All],[Symbol]],Table36[[#All],[Security Description]])</f>
        <v>#REF!</v>
      </c>
      <c r="H42" s="18">
        <v>45930</v>
      </c>
      <c r="I42" s="19" t="e">
        <f>#REF!&amp;" "&amp;#REF!</f>
        <v>#REF!</v>
      </c>
      <c r="J42" s="16">
        <v>0.45</v>
      </c>
      <c r="K42" s="20">
        <v>221.93</v>
      </c>
      <c r="L42" s="21"/>
      <c r="M42" s="16"/>
      <c r="N42" s="16"/>
      <c r="O42" s="20" t="e">
        <f>IF(#REF!="Closed",#REF!/#REF!,"")</f>
        <v>#REF!</v>
      </c>
      <c r="P42" s="20"/>
    </row>
    <row r="43" spans="2:16" ht="14" customHeight="1" x14ac:dyDescent="0.2">
      <c r="B43" s="16" t="s">
        <v>41</v>
      </c>
      <c r="C43" s="16" t="e">
        <f t="array" ref="C43">_xlfn.XLOOKUP(#REF!,#REF!,#REF!)</f>
        <v>#REF!</v>
      </c>
      <c r="D43" s="16" t="e">
        <f t="array" ref="D43">_xlfn.XLOOKUP(#REF!,#REF!,#REF!)</f>
        <v>#REF!</v>
      </c>
      <c r="E43" s="16" t="s">
        <v>37</v>
      </c>
      <c r="F43" s="16" t="s">
        <v>42</v>
      </c>
      <c r="G43" s="17" t="e">
        <f t="array" ref="G43">_xlfn.XLOOKUP(#REF!,Table36[[#All],[Symbol]],Table36[[#All],[Security Description]])</f>
        <v>#REF!</v>
      </c>
      <c r="H43" s="18">
        <v>45931</v>
      </c>
      <c r="I43" s="19" t="e">
        <f>#REF!&amp;" "&amp;#REF!</f>
        <v>#REF!</v>
      </c>
      <c r="J43" s="16">
        <f>0.582+0.071</f>
        <v>0.65299999999999991</v>
      </c>
      <c r="K43" s="20">
        <v>611.9</v>
      </c>
      <c r="L43" s="21"/>
      <c r="M43" s="16"/>
      <c r="N43" s="16"/>
      <c r="O43" s="20" t="e">
        <f>IF(#REF!="Closed",#REF!/#REF!,"")</f>
        <v>#REF!</v>
      </c>
      <c r="P43" s="20"/>
    </row>
    <row r="44" spans="2:16" ht="14" customHeight="1" x14ac:dyDescent="0.2">
      <c r="B44" s="16" t="s">
        <v>41</v>
      </c>
      <c r="C44" s="16" t="e">
        <f t="array" ref="C44">_xlfn.XLOOKUP(#REF!,#REF!,#REF!)</f>
        <v>#REF!</v>
      </c>
      <c r="D44" s="16" t="e">
        <f t="array" ref="D44">_xlfn.XLOOKUP(#REF!,#REF!,#REF!)</f>
        <v>#REF!</v>
      </c>
      <c r="E44" s="16" t="s">
        <v>37</v>
      </c>
      <c r="F44" s="16" t="s">
        <v>42</v>
      </c>
      <c r="G44" s="17" t="e">
        <f t="array" ref="G44">_xlfn.XLOOKUP(#REF!,Table36[[#All],[Symbol]],Table36[[#All],[Security Description]])</f>
        <v>#REF!</v>
      </c>
      <c r="H44" s="18">
        <v>45933</v>
      </c>
      <c r="I44" s="19" t="e">
        <f>#REF!&amp;" "&amp;#REF!</f>
        <v>#REF!</v>
      </c>
      <c r="J44" s="16">
        <v>0.04</v>
      </c>
      <c r="K44" s="20">
        <v>616.5</v>
      </c>
      <c r="L44" s="21"/>
      <c r="M44" s="16"/>
      <c r="N44" s="16"/>
      <c r="O44" s="20" t="e">
        <f>IF(#REF!="Closed",#REF!/#REF!,"")</f>
        <v>#REF!</v>
      </c>
      <c r="P44" s="20"/>
    </row>
    <row r="45" spans="2:16" ht="14" customHeight="1" x14ac:dyDescent="0.2">
      <c r="B45" s="16" t="s">
        <v>41</v>
      </c>
      <c r="C45" s="16" t="e">
        <f t="array" ref="C45">_xlfn.XLOOKUP(#REF!,#REF!,#REF!)</f>
        <v>#REF!</v>
      </c>
      <c r="D45" s="16" t="e">
        <f t="array" ref="D45">_xlfn.XLOOKUP(#REF!,#REF!,#REF!)</f>
        <v>#REF!</v>
      </c>
      <c r="E45" s="16" t="s">
        <v>37</v>
      </c>
      <c r="F45" s="16" t="s">
        <v>42</v>
      </c>
      <c r="G45" s="17" t="e">
        <f t="array" ref="G45">_xlfn.XLOOKUP(#REF!,Table36[[#All],[Symbol]],Table36[[#All],[Security Description]])</f>
        <v>#REF!</v>
      </c>
      <c r="H45" s="18">
        <v>45937</v>
      </c>
      <c r="I45" s="19" t="e">
        <f>#REF!&amp;" "&amp;#REF!</f>
        <v>#REF!</v>
      </c>
      <c r="J45" s="16">
        <v>0.161</v>
      </c>
      <c r="K45" s="20">
        <v>617.82600000000002</v>
      </c>
      <c r="L45" s="21"/>
      <c r="M45" s="16"/>
      <c r="N45" s="16"/>
      <c r="O45" s="20" t="e">
        <f>IF(#REF!="Closed",#REF!/#REF!,"")</f>
        <v>#REF!</v>
      </c>
      <c r="P45" s="20"/>
    </row>
    <row r="46" spans="2:16" ht="14" customHeight="1" x14ac:dyDescent="0.2">
      <c r="B46" s="16" t="s">
        <v>41</v>
      </c>
      <c r="C46" s="16" t="e">
        <f t="array" ref="C46">_xlfn.XLOOKUP(#REF!,#REF!,#REF!)</f>
        <v>#REF!</v>
      </c>
      <c r="D46" s="16" t="e">
        <f t="array" ref="D46">_xlfn.XLOOKUP(#REF!,#REF!,#REF!)</f>
        <v>#REF!</v>
      </c>
      <c r="E46" s="16" t="s">
        <v>37</v>
      </c>
      <c r="F46" s="16" t="s">
        <v>42</v>
      </c>
      <c r="G46" s="17" t="e">
        <f t="array" ref="G46">_xlfn.XLOOKUP(#REF!,Table36[[#All],[Symbol]],Table36[[#All],[Security Description]])</f>
        <v>#REF!</v>
      </c>
      <c r="H46" s="18">
        <v>45938</v>
      </c>
      <c r="I46" s="19" t="e">
        <f>#REF!&amp;" "&amp;#REF!</f>
        <v>#REF!</v>
      </c>
      <c r="J46" s="16">
        <f>0.132+0.515</f>
        <v>0.64700000000000002</v>
      </c>
      <c r="K46" s="20">
        <v>617.4</v>
      </c>
      <c r="L46" s="21"/>
      <c r="M46" s="16"/>
      <c r="N46" s="16"/>
      <c r="O46" s="20" t="e">
        <f>IF(#REF!="Closed",#REF!/#REF!,"")</f>
        <v>#REF!</v>
      </c>
      <c r="P46" s="20"/>
    </row>
    <row r="47" spans="2:16" ht="14" customHeight="1" x14ac:dyDescent="0.2">
      <c r="B47" s="16" t="s">
        <v>41</v>
      </c>
      <c r="C47" s="16" t="e">
        <f t="array" ref="C47">_xlfn.XLOOKUP(#REF!,#REF!,#REF!)</f>
        <v>#REF!</v>
      </c>
      <c r="D47" s="16" t="e">
        <f t="array" ref="D47">_xlfn.XLOOKUP(#REF!,#REF!,#REF!)</f>
        <v>#REF!</v>
      </c>
      <c r="E47" s="16" t="s">
        <v>37</v>
      </c>
      <c r="F47" s="16" t="s">
        <v>42</v>
      </c>
      <c r="G47" s="17" t="e">
        <f t="array" ref="G47">_xlfn.XLOOKUP(#REF!,Table36[[#All],[Symbol]],Table36[[#All],[Security Description]])</f>
        <v>#REF!</v>
      </c>
      <c r="H47" s="18">
        <v>45940</v>
      </c>
      <c r="I47" s="19" t="e">
        <f>#REF!&amp;" "&amp;#REF!</f>
        <v>#REF!</v>
      </c>
      <c r="J47" s="16">
        <v>0.04</v>
      </c>
      <c r="K47" s="20">
        <v>618.25</v>
      </c>
      <c r="L47" s="21"/>
      <c r="M47" s="16"/>
      <c r="N47" s="16"/>
      <c r="O47" s="20" t="e">
        <f>IF(#REF!="Closed",#REF!/#REF!,"")</f>
        <v>#REF!</v>
      </c>
      <c r="P47" s="20"/>
    </row>
    <row r="48" spans="2:16" ht="14" customHeight="1" x14ac:dyDescent="0.2">
      <c r="B48" s="16" t="s">
        <v>41</v>
      </c>
      <c r="C48" s="16" t="e">
        <f t="array" ref="C48">_xlfn.XLOOKUP(#REF!,#REF!,#REF!)</f>
        <v>#REF!</v>
      </c>
      <c r="D48" s="16" t="e">
        <f t="array" ref="D48">_xlfn.XLOOKUP(#REF!,#REF!,#REF!)</f>
        <v>#REF!</v>
      </c>
      <c r="E48" s="16" t="s">
        <v>37</v>
      </c>
      <c r="F48" s="16" t="s">
        <v>42</v>
      </c>
      <c r="G48" s="17" t="e">
        <f t="array" ref="G48">_xlfn.XLOOKUP(#REF!,Table36[[#All],[Symbol]],Table36[[#All],[Security Description]])</f>
        <v>#REF!</v>
      </c>
      <c r="H48" s="18">
        <v>45944</v>
      </c>
      <c r="I48" s="19" t="e">
        <f>#REF!&amp;" "&amp;#REF!</f>
        <v>#REF!</v>
      </c>
      <c r="J48" s="16">
        <v>0.16500000000000001</v>
      </c>
      <c r="K48" s="20">
        <v>605.9393</v>
      </c>
      <c r="L48" s="21"/>
      <c r="M48" s="16"/>
      <c r="N48" s="16"/>
      <c r="O48" s="20" t="e">
        <f>IF(#REF!="Closed",#REF!/#REF!,"")</f>
        <v>#REF!</v>
      </c>
      <c r="P48" s="20"/>
    </row>
    <row r="49" spans="2:16" ht="14" customHeight="1" x14ac:dyDescent="0.2">
      <c r="B49" s="16" t="s">
        <v>41</v>
      </c>
      <c r="C49" s="16" t="e">
        <f t="array" ref="C49">_xlfn.XLOOKUP(#REF!,#REF!,#REF!)</f>
        <v>#REF!</v>
      </c>
      <c r="D49" s="16" t="e">
        <f t="array" ref="D49">_xlfn.XLOOKUP(#REF!,#REF!,#REF!)</f>
        <v>#REF!</v>
      </c>
      <c r="E49" s="16" t="s">
        <v>37</v>
      </c>
      <c r="F49" s="16" t="s">
        <v>42</v>
      </c>
      <c r="G49" s="17" t="e">
        <f t="array" ref="G49">_xlfn.XLOOKUP(#REF!,Table36[[#All],[Symbol]],Table36[[#All],[Security Description]])</f>
        <v>#REF!</v>
      </c>
      <c r="H49" s="18">
        <v>45945</v>
      </c>
      <c r="I49" s="19" t="e">
        <f>#REF!&amp;" "&amp;#REF!</f>
        <v>#REF!</v>
      </c>
      <c r="J49" s="16">
        <v>0.64900000000000002</v>
      </c>
      <c r="K49" s="20">
        <v>615.74</v>
      </c>
      <c r="L49" s="21"/>
      <c r="M49" s="16"/>
      <c r="N49" s="16"/>
      <c r="O49" s="20" t="e">
        <f>IF(#REF!="Closed",#REF!/#REF!,"")</f>
        <v>#REF!</v>
      </c>
      <c r="P49" s="20"/>
    </row>
    <row r="50" spans="2:16" ht="14" customHeight="1" x14ac:dyDescent="0.2">
      <c r="B50" s="16" t="s">
        <v>41</v>
      </c>
      <c r="C50" s="16" t="e">
        <f t="array" ref="C50">_xlfn.XLOOKUP(#REF!,#REF!,#REF!)</f>
        <v>#REF!</v>
      </c>
      <c r="D50" s="16" t="e">
        <f t="array" ref="D50">_xlfn.XLOOKUP(#REF!,#REF!,#REF!)</f>
        <v>#REF!</v>
      </c>
      <c r="E50" s="16" t="s">
        <v>37</v>
      </c>
      <c r="F50" s="16" t="s">
        <v>42</v>
      </c>
      <c r="G50" s="17" t="e">
        <f t="array" ref="G50">_xlfn.XLOOKUP(#REF!,Table36[[#All],[Symbol]],Table36[[#All],[Security Description]])</f>
        <v>#REF!</v>
      </c>
      <c r="H50" s="18">
        <v>45947</v>
      </c>
      <c r="I50" s="19" t="e">
        <f>#REF!&amp;" "&amp;#REF!</f>
        <v>#REF!</v>
      </c>
      <c r="J50" s="16">
        <v>4.1000000000000002E-2</v>
      </c>
      <c r="K50" s="20">
        <v>608.53650000000005</v>
      </c>
      <c r="L50" s="21"/>
      <c r="M50" s="16"/>
      <c r="N50" s="16"/>
      <c r="O50" s="20" t="e">
        <f>IF(#REF!="Closed",#REF!/#REF!,"")</f>
        <v>#REF!</v>
      </c>
      <c r="P50" s="20"/>
    </row>
    <row r="51" spans="2:16" ht="14" customHeight="1" x14ac:dyDescent="0.2">
      <c r="B51" s="16" t="s">
        <v>41</v>
      </c>
      <c r="C51" s="16" t="e">
        <f t="array" ref="C51">_xlfn.XLOOKUP(#REF!,#REF!,#REF!)</f>
        <v>#REF!</v>
      </c>
      <c r="D51" s="16" t="e">
        <f t="array" ref="D51">_xlfn.XLOOKUP(#REF!,#REF!,#REF!)</f>
        <v>#REF!</v>
      </c>
      <c r="E51" s="16" t="s">
        <v>37</v>
      </c>
      <c r="F51" s="16" t="s">
        <v>42</v>
      </c>
      <c r="G51" s="17" t="e">
        <f t="array" ref="G51">_xlfn.XLOOKUP(#REF!,Table36[[#All],[Symbol]],Table36[[#All],[Security Description]])</f>
        <v>#REF!</v>
      </c>
      <c r="H51" s="18">
        <v>45951</v>
      </c>
      <c r="I51" s="19" t="e">
        <f>#REF!&amp;" "&amp;#REF!</f>
        <v>#REF!</v>
      </c>
      <c r="J51" s="16">
        <v>0.16200000000000001</v>
      </c>
      <c r="K51" s="20">
        <v>616.35799999999995</v>
      </c>
      <c r="L51" s="21"/>
      <c r="M51" s="16"/>
      <c r="N51" s="16"/>
      <c r="O51" s="20" t="e">
        <f>IF(#REF!="Closed",#REF!/#REF!,"")</f>
        <v>#REF!</v>
      </c>
      <c r="P51" s="20"/>
    </row>
    <row r="52" spans="2:16" ht="14" customHeight="1" x14ac:dyDescent="0.2">
      <c r="B52" s="16" t="s">
        <v>41</v>
      </c>
      <c r="C52" s="16" t="e">
        <f t="array" ref="C52">_xlfn.XLOOKUP(#REF!,#REF!,#REF!)</f>
        <v>#REF!</v>
      </c>
      <c r="D52" s="16" t="e">
        <f t="array" ref="D52">_xlfn.XLOOKUP(#REF!,#REF!,#REF!)</f>
        <v>#REF!</v>
      </c>
      <c r="E52" s="16" t="s">
        <v>37</v>
      </c>
      <c r="F52" s="16" t="s">
        <v>42</v>
      </c>
      <c r="G52" s="17" t="e">
        <f t="array" ref="G52">_xlfn.XLOOKUP(#REF!,Table36[[#All],[Symbol]],Table36[[#All],[Security Description]])</f>
        <v>#REF!</v>
      </c>
      <c r="H52" s="18">
        <v>45952</v>
      </c>
      <c r="I52" s="19" t="e">
        <f>#REF!&amp;" "&amp;#REF!</f>
        <v>#REF!</v>
      </c>
      <c r="J52" s="16">
        <v>0.64700000000000002</v>
      </c>
      <c r="K52" s="20">
        <v>617.32600000000002</v>
      </c>
      <c r="L52" s="21"/>
      <c r="M52" s="16"/>
      <c r="N52" s="16"/>
      <c r="O52" s="20" t="e">
        <f>IF(#REF!="Closed",#REF!/#REF!,"")</f>
        <v>#REF!</v>
      </c>
      <c r="P52" s="20"/>
    </row>
    <row r="53" spans="2:16" ht="14" customHeight="1" x14ac:dyDescent="0.2">
      <c r="B53" s="16" t="s">
        <v>41</v>
      </c>
      <c r="C53" s="16" t="e">
        <f t="array" ref="C53">_xlfn.XLOOKUP(#REF!,#REF!,#REF!)</f>
        <v>#REF!</v>
      </c>
      <c r="D53" s="16" t="e">
        <f t="array" ref="D53">_xlfn.XLOOKUP(#REF!,#REF!,#REF!)</f>
        <v>#REF!</v>
      </c>
      <c r="E53" s="16" t="s">
        <v>37</v>
      </c>
      <c r="F53" s="16" t="s">
        <v>42</v>
      </c>
      <c r="G53" s="17" t="e">
        <f t="array" ref="G53">_xlfn.XLOOKUP(#REF!,Table36[[#All],[Symbol]],Table36[[#All],[Security Description]])</f>
        <v>#REF!</v>
      </c>
      <c r="H53" s="18">
        <v>45954</v>
      </c>
      <c r="I53" s="19" t="e">
        <f>#REF!&amp;" "&amp;#REF!</f>
        <v>#REF!</v>
      </c>
      <c r="J53" s="16">
        <v>0.04</v>
      </c>
      <c r="K53" s="20">
        <v>622.23</v>
      </c>
      <c r="L53" s="21"/>
      <c r="M53" s="16"/>
      <c r="N53" s="16"/>
      <c r="O53" s="20" t="e">
        <f>IF(#REF!="Closed",#REF!/#REF!,"")</f>
        <v>#REF!</v>
      </c>
      <c r="P53" s="20"/>
    </row>
    <row r="54" spans="2:16" ht="14" customHeight="1" x14ac:dyDescent="0.2">
      <c r="B54" s="16" t="s">
        <v>41</v>
      </c>
      <c r="C54" s="16" t="e">
        <f t="array" ref="C54">_xlfn.XLOOKUP(#REF!,#REF!,#REF!)</f>
        <v>#REF!</v>
      </c>
      <c r="D54" s="16" t="e">
        <f t="array" ref="D54">_xlfn.XLOOKUP(#REF!,#REF!,#REF!)</f>
        <v>#REF!</v>
      </c>
      <c r="E54" s="16" t="s">
        <v>37</v>
      </c>
      <c r="F54" s="16" t="s">
        <v>42</v>
      </c>
      <c r="G54" s="17" t="e">
        <f t="array" ref="G54">_xlfn.XLOOKUP(#REF!,Table36[[#All],[Symbol]],Table36[[#All],[Security Description]])</f>
        <v>#REF!</v>
      </c>
      <c r="H54" s="18">
        <v>45954</v>
      </c>
      <c r="I54" s="19" t="e">
        <f>#REF!&amp;" "&amp;#REF!</f>
        <v>#REF!</v>
      </c>
      <c r="J54" s="16">
        <v>3.9E-2</v>
      </c>
      <c r="K54" s="20">
        <v>627.88</v>
      </c>
      <c r="L54" s="21"/>
      <c r="M54" s="16"/>
      <c r="N54" s="16"/>
      <c r="O54" s="20" t="e">
        <f>IF(#REF!="Closed",#REF!/#REF!,"")</f>
        <v>#REF!</v>
      </c>
      <c r="P54" s="20"/>
    </row>
    <row r="55" spans="2:16" ht="14" customHeight="1" x14ac:dyDescent="0.2">
      <c r="B55" s="16" t="s">
        <v>41</v>
      </c>
      <c r="C55" s="16" t="e">
        <f t="array" ref="C55">_xlfn.XLOOKUP(#REF!,#REF!,#REF!)</f>
        <v>#REF!</v>
      </c>
      <c r="D55" s="16" t="e">
        <f t="array" ref="D55">_xlfn.XLOOKUP(#REF!,#REF!,#REF!)</f>
        <v>#REF!</v>
      </c>
      <c r="E55" s="16" t="s">
        <v>37</v>
      </c>
      <c r="F55" s="16" t="s">
        <v>42</v>
      </c>
      <c r="G55" s="17" t="e">
        <f t="array" ref="G55">_xlfn.XLOOKUP(#REF!,Table36[[#All],[Symbol]],Table36[[#All],[Security Description]])</f>
        <v>#REF!</v>
      </c>
      <c r="H55" s="18">
        <v>45958</v>
      </c>
      <c r="I55" s="19" t="e">
        <f>#REF!&amp;" "&amp;#REF!</f>
        <v>#REF!</v>
      </c>
      <c r="J55" s="16">
        <f>0.042+0.382</f>
        <v>0.42399999999999999</v>
      </c>
      <c r="K55" s="20">
        <v>235.70679999999999</v>
      </c>
      <c r="L55" s="21"/>
      <c r="M55" s="16"/>
      <c r="N55" s="16"/>
      <c r="O55" s="20" t="e">
        <f>IF(#REF!="Closed",#REF!/#REF!,"")</f>
        <v>#REF!</v>
      </c>
      <c r="P55" s="20"/>
    </row>
    <row r="56" spans="2:16" ht="14" customHeight="1" x14ac:dyDescent="0.2">
      <c r="B56" s="16" t="s">
        <v>41</v>
      </c>
      <c r="C56" s="16" t="e">
        <f t="array" ref="C56">_xlfn.XLOOKUP(#REF!,#REF!,#REF!)</f>
        <v>#REF!</v>
      </c>
      <c r="D56" s="16" t="e">
        <f t="array" ref="D56">_xlfn.XLOOKUP(#REF!,#REF!,#REF!)</f>
        <v>#REF!</v>
      </c>
      <c r="E56" s="16" t="s">
        <v>37</v>
      </c>
      <c r="F56" s="16" t="s">
        <v>42</v>
      </c>
      <c r="G56" s="17" t="e">
        <f t="array" ref="G56">_xlfn.XLOOKUP(#REF!,Table36[[#All],[Symbol]],Table36[[#All],[Security Description]])</f>
        <v>#REF!</v>
      </c>
      <c r="H56" s="18">
        <v>45959</v>
      </c>
      <c r="I56" s="19" t="e">
        <f>#REF!&amp;" "&amp;#REF!</f>
        <v>#REF!</v>
      </c>
      <c r="J56" s="16">
        <v>0.63100000000000001</v>
      </c>
      <c r="K56" s="20">
        <v>633.22</v>
      </c>
      <c r="L56" s="21"/>
      <c r="M56" s="16"/>
      <c r="N56" s="16"/>
      <c r="O56" s="20" t="e">
        <f>IF(#REF!="Closed",#REF!/#REF!,"")</f>
        <v>#REF!</v>
      </c>
      <c r="P56" s="20"/>
    </row>
    <row r="57" spans="2:16" ht="14" customHeight="1" x14ac:dyDescent="0.2">
      <c r="B57" s="16" t="s">
        <v>41</v>
      </c>
      <c r="C57" s="16" t="e">
        <f t="array" ref="C57">_xlfn.XLOOKUP(#REF!,#REF!,#REF!)</f>
        <v>#REF!</v>
      </c>
      <c r="D57" s="16" t="e">
        <f t="array" ref="D57">_xlfn.XLOOKUP(#REF!,#REF!,#REF!)</f>
        <v>#REF!</v>
      </c>
      <c r="E57" s="16" t="s">
        <v>37</v>
      </c>
      <c r="F57" s="16" t="s">
        <v>42</v>
      </c>
      <c r="G57" s="17" t="e">
        <f t="array" ref="G57">_xlfn.XLOOKUP(#REF!,Table36[[#All],[Symbol]],Table36[[#All],[Security Description]])</f>
        <v>#REF!</v>
      </c>
      <c r="H57" s="18">
        <v>45961</v>
      </c>
      <c r="I57" s="19" t="e">
        <f>#REF!&amp;" "&amp;#REF!</f>
        <v>#REF!</v>
      </c>
      <c r="J57" s="16">
        <v>3.9E-2</v>
      </c>
      <c r="K57" s="20">
        <v>627.88</v>
      </c>
      <c r="L57" s="21"/>
      <c r="M57" s="16"/>
      <c r="N57" s="16"/>
      <c r="O57" s="20" t="e">
        <f>IF(#REF!="Closed",#REF!/#REF!,"")</f>
        <v>#REF!</v>
      </c>
      <c r="P57" s="20"/>
    </row>
    <row r="58" spans="2:16" ht="14" customHeight="1" x14ac:dyDescent="0.2">
      <c r="B58" s="16" t="s">
        <v>41</v>
      </c>
      <c r="C58" s="16" t="e">
        <f t="array" ref="C58">_xlfn.XLOOKUP(#REF!,#REF!,#REF!)</f>
        <v>#REF!</v>
      </c>
      <c r="D58" s="16" t="e">
        <f t="array" ref="D58">_xlfn.XLOOKUP(#REF!,#REF!,#REF!)</f>
        <v>#REF!</v>
      </c>
      <c r="E58" s="16" t="s">
        <v>37</v>
      </c>
      <c r="F58" s="16" t="s">
        <v>42</v>
      </c>
      <c r="G58" s="17" t="e">
        <f t="array" ref="G58">_xlfn.XLOOKUP(#REF!,Table36[[#All],[Symbol]],Table36[[#All],[Security Description]])</f>
        <v>#REF!</v>
      </c>
      <c r="H58" s="18">
        <v>45965</v>
      </c>
      <c r="I58" s="19" t="e">
        <f>#REF!&amp;" "&amp;#REF!</f>
        <v>#REF!</v>
      </c>
      <c r="J58" s="16">
        <v>0.16</v>
      </c>
      <c r="K58" s="20">
        <v>624.21</v>
      </c>
      <c r="L58" s="21"/>
      <c r="M58" s="16"/>
      <c r="N58" s="16"/>
      <c r="O58" s="20" t="e">
        <f>IF(#REF!="Closed",#REF!/#REF!,"")</f>
        <v>#REF!</v>
      </c>
      <c r="P58" s="20"/>
    </row>
    <row r="59" spans="2:16" ht="14" customHeight="1" x14ac:dyDescent="0.2">
      <c r="B59" s="16" t="s">
        <v>41</v>
      </c>
      <c r="C59" s="16" t="e">
        <f t="array" ref="C59">_xlfn.XLOOKUP(#REF!,#REF!,#REF!)</f>
        <v>#REF!</v>
      </c>
      <c r="D59" s="16" t="e">
        <f t="array" ref="D59">_xlfn.XLOOKUP(#REF!,#REF!,#REF!)</f>
        <v>#REF!</v>
      </c>
      <c r="E59" s="16" t="s">
        <v>37</v>
      </c>
      <c r="F59" s="16" t="s">
        <v>42</v>
      </c>
      <c r="G59" s="17" t="e">
        <f t="array" ref="G59">_xlfn.XLOOKUP(#REF!,Table36[[#All],[Symbol]],Table36[[#All],[Security Description]])</f>
        <v>#REF!</v>
      </c>
      <c r="H59" s="18">
        <v>45968</v>
      </c>
      <c r="I59" s="19" t="e">
        <f>#REF!&amp;" "&amp;#REF!</f>
        <v>#REF!</v>
      </c>
      <c r="J59" s="16">
        <v>0.04</v>
      </c>
      <c r="K59" s="20">
        <v>613.03</v>
      </c>
      <c r="L59" s="21"/>
      <c r="M59" s="16"/>
      <c r="N59" s="16"/>
      <c r="O59" s="20" t="e">
        <f>IF(#REF!="Closed",#REF!/#REF!,"")</f>
        <v>#REF!</v>
      </c>
      <c r="P59" s="20"/>
    </row>
    <row r="60" spans="2:16" ht="14" customHeight="1" x14ac:dyDescent="0.2">
      <c r="B60" s="16" t="s">
        <v>41</v>
      </c>
      <c r="C60" s="16" t="e">
        <f t="array" ref="C60">_xlfn.XLOOKUP(#REF!,#REF!,#REF!)</f>
        <v>#REF!</v>
      </c>
      <c r="D60" s="16" t="e">
        <f t="array" ref="D60">_xlfn.XLOOKUP(#REF!,#REF!,#REF!)</f>
        <v>#REF!</v>
      </c>
      <c r="E60" s="16" t="s">
        <v>37</v>
      </c>
      <c r="F60" s="16" t="s">
        <v>42</v>
      </c>
      <c r="G60" s="17" t="e">
        <f t="array" ref="G60">_xlfn.XLOOKUP(#REF!,Table36[[#All],[Symbol]],Table36[[#All],[Security Description]])</f>
        <v>#REF!</v>
      </c>
      <c r="H60" s="18">
        <v>45972</v>
      </c>
      <c r="I60" s="19" t="e">
        <f>#REF!&amp;" "&amp;#REF!</f>
        <v>#REF!</v>
      </c>
      <c r="J60" s="16">
        <v>0.159</v>
      </c>
      <c r="K60" s="20">
        <v>625.65</v>
      </c>
      <c r="L60" s="21"/>
      <c r="M60" s="16"/>
      <c r="N60" s="16"/>
      <c r="O60" s="20" t="e">
        <f>IF(#REF!="Closed",#REF!/#REF!,"")</f>
        <v>#REF!</v>
      </c>
      <c r="P60" s="20"/>
    </row>
    <row r="61" spans="2:16" ht="14" customHeight="1" x14ac:dyDescent="0.2">
      <c r="B61" s="16" t="s">
        <v>41</v>
      </c>
      <c r="C61" s="16" t="e">
        <f t="array" ref="C61">_xlfn.XLOOKUP(#REF!,#REF!,#REF!)</f>
        <v>#REF!</v>
      </c>
      <c r="D61" s="16" t="e">
        <f t="array" ref="D61">_xlfn.XLOOKUP(#REF!,#REF!,#REF!)</f>
        <v>#REF!</v>
      </c>
      <c r="E61" s="16" t="s">
        <v>37</v>
      </c>
      <c r="F61" s="16" t="s">
        <v>42</v>
      </c>
      <c r="G61" s="17" t="e">
        <f t="array" ref="G61">_xlfn.XLOOKUP(#REF!,Table36[[#All],[Symbol]],Table36[[#All],[Security Description]])</f>
        <v>#REF!</v>
      </c>
      <c r="H61" s="18">
        <v>45975</v>
      </c>
      <c r="I61" s="19" t="e">
        <f>#REF!&amp;" "&amp;#REF!</f>
        <v>#REF!</v>
      </c>
      <c r="J61" s="16">
        <v>0.04</v>
      </c>
      <c r="K61" s="20">
        <v>614.1</v>
      </c>
      <c r="L61" s="21"/>
      <c r="M61" s="16"/>
      <c r="N61" s="16"/>
      <c r="O61" s="20" t="e">
        <f>IF(#REF!="Closed",#REF!/#REF!,"")</f>
        <v>#REF!</v>
      </c>
      <c r="P61" s="20"/>
    </row>
    <row r="62" spans="2:16" ht="14" customHeight="1" x14ac:dyDescent="0.2">
      <c r="B62" s="16" t="s">
        <v>41</v>
      </c>
      <c r="C62" s="16" t="e">
        <f t="array" ref="C62">_xlfn.XLOOKUP(#REF!,#REF!,#REF!)</f>
        <v>#REF!</v>
      </c>
      <c r="D62" s="16" t="e">
        <f t="array" ref="D62">_xlfn.XLOOKUP(#REF!,#REF!,#REF!)</f>
        <v>#REF!</v>
      </c>
      <c r="E62" s="16" t="s">
        <v>37</v>
      </c>
      <c r="F62" s="16" t="s">
        <v>42</v>
      </c>
      <c r="G62" s="17" t="e">
        <f t="array" ref="G62">_xlfn.XLOOKUP(#REF!,Table36[[#All],[Symbol]],Table36[[#All],[Security Description]])</f>
        <v>#REF!</v>
      </c>
      <c r="H62" s="18">
        <v>45979</v>
      </c>
      <c r="I62" s="19" t="e">
        <f>#REF!&amp;" "&amp;#REF!</f>
        <v>#REF!</v>
      </c>
      <c r="J62" s="16">
        <f>0.054+0.111</f>
        <v>0.16500000000000001</v>
      </c>
      <c r="K62" s="20">
        <v>604.59</v>
      </c>
      <c r="L62" s="21"/>
      <c r="M62" s="16"/>
      <c r="N62" s="16"/>
      <c r="O62" s="20" t="e">
        <f>IF(#REF!="Closed",#REF!/#REF!,"")</f>
        <v>#REF!</v>
      </c>
      <c r="P62" s="20"/>
    </row>
    <row r="63" spans="2:16" ht="14" customHeight="1" x14ac:dyDescent="0.2">
      <c r="B63" s="16" t="s">
        <v>41</v>
      </c>
      <c r="C63" s="16" t="e">
        <f t="array" ref="C63">_xlfn.XLOOKUP(#REF!,#REF!,#REF!)</f>
        <v>#REF!</v>
      </c>
      <c r="D63" s="16" t="e">
        <f t="array" ref="D63">_xlfn.XLOOKUP(#REF!,#REF!,#REF!)</f>
        <v>#REF!</v>
      </c>
      <c r="E63" s="16" t="s">
        <v>37</v>
      </c>
      <c r="F63" s="16" t="s">
        <v>42</v>
      </c>
      <c r="G63" s="17" t="e">
        <f t="array" ref="G63">_xlfn.XLOOKUP(#REF!,Table36[[#All],[Symbol]],Table36[[#All],[Security Description]])</f>
        <v>#REF!</v>
      </c>
      <c r="H63" s="18">
        <v>45982</v>
      </c>
      <c r="I63" s="19" t="e">
        <f>#REF!&amp;" "&amp;#REF!</f>
        <v>#REF!</v>
      </c>
      <c r="J63" s="16">
        <v>4.1000000000000002E-2</v>
      </c>
      <c r="K63" s="20">
        <v>602.53</v>
      </c>
      <c r="L63" s="21"/>
      <c r="M63" s="16"/>
      <c r="N63" s="16"/>
      <c r="O63" s="20" t="e">
        <f>IF(#REF!="Closed",#REF!/#REF!,"")</f>
        <v>#REF!</v>
      </c>
      <c r="P63" s="20"/>
    </row>
    <row r="64" spans="2:16" ht="14" customHeight="1" x14ac:dyDescent="0.2">
      <c r="B64" s="16" t="s">
        <v>41</v>
      </c>
      <c r="C64" s="16" t="e">
        <f t="array" ref="C64">_xlfn.XLOOKUP(#REF!,#REF!,#REF!)</f>
        <v>#REF!</v>
      </c>
      <c r="D64" s="16" t="e">
        <f t="array" ref="D64">_xlfn.XLOOKUP(#REF!,#REF!,#REF!)</f>
        <v>#REF!</v>
      </c>
      <c r="E64" s="16" t="s">
        <v>37</v>
      </c>
      <c r="F64" s="16" t="s">
        <v>42</v>
      </c>
      <c r="G64" s="17" t="e">
        <f t="array" ref="G64">_xlfn.XLOOKUP(#REF!,Table36[[#All],[Symbol]],Table36[[#All],[Security Description]])</f>
        <v>#REF!</v>
      </c>
      <c r="H64" s="18">
        <v>45986</v>
      </c>
      <c r="I64" s="19" t="e">
        <f>#REF!&amp;" "&amp;#REF!</f>
        <v>#REF!</v>
      </c>
      <c r="J64" s="16">
        <f>0.14+0.023</f>
        <v>0.16300000000000001</v>
      </c>
      <c r="K64" s="20">
        <v>612.65</v>
      </c>
      <c r="L64" s="21"/>
      <c r="M64" s="16"/>
      <c r="N64" s="16"/>
      <c r="O64" s="20" t="e">
        <f>IF(#REF!="Closed",#REF!/#REF!,"")</f>
        <v>#REF!</v>
      </c>
      <c r="P64" s="20"/>
    </row>
    <row r="65" spans="2:16" ht="14" customHeight="1" x14ac:dyDescent="0.2">
      <c r="B65" s="16" t="s">
        <v>41</v>
      </c>
      <c r="C65" s="16" t="e">
        <f t="array" ref="C65">_xlfn.XLOOKUP(#REF!,#REF!,#REF!)</f>
        <v>#REF!</v>
      </c>
      <c r="D65" s="16" t="e">
        <f t="array" ref="D65">_xlfn.XLOOKUP(#REF!,#REF!,#REF!)</f>
        <v>#REF!</v>
      </c>
      <c r="E65" s="16" t="s">
        <v>37</v>
      </c>
      <c r="F65" s="16" t="s">
        <v>42</v>
      </c>
      <c r="G65" s="17" t="e">
        <f t="array" ref="G65">_xlfn.XLOOKUP(#REF!,Table36[[#All],[Symbol]],Table36[[#All],[Security Description]])</f>
        <v>#REF!</v>
      </c>
      <c r="H65" s="18">
        <v>45989</v>
      </c>
      <c r="I65" s="19" t="e">
        <f>#REF!&amp;" "&amp;#REF!</f>
        <v>#REF!</v>
      </c>
      <c r="J65" s="16">
        <v>3.9E-2</v>
      </c>
      <c r="K65" s="20">
        <v>626.94000000000005</v>
      </c>
      <c r="L65" s="21"/>
      <c r="M65" s="16"/>
      <c r="N65" s="16"/>
      <c r="O65" s="20" t="e">
        <f>IF(#REF!="Closed",#REF!/#REF!,"")</f>
        <v>#REF!</v>
      </c>
      <c r="P65" s="20"/>
    </row>
    <row r="66" spans="2:16" ht="14" customHeight="1" x14ac:dyDescent="0.2">
      <c r="B66" s="16" t="s">
        <v>41</v>
      </c>
      <c r="C66" s="16" t="e">
        <f t="array" ref="C66">_xlfn.XLOOKUP(#REF!,#REF!,#REF!)</f>
        <v>#REF!</v>
      </c>
      <c r="D66" s="16" t="e">
        <f t="array" ref="D66">_xlfn.XLOOKUP(#REF!,#REF!,#REF!)</f>
        <v>#REF!</v>
      </c>
      <c r="E66" s="16" t="s">
        <v>37</v>
      </c>
      <c r="F66" s="16" t="s">
        <v>42</v>
      </c>
      <c r="G66" s="17" t="e">
        <f t="array" ref="G66">_xlfn.XLOOKUP(#REF!,Table36[[#All],[Symbol]],Table36[[#All],[Security Description]])</f>
        <v>#REF!</v>
      </c>
      <c r="H66" s="18">
        <v>45993</v>
      </c>
      <c r="I66" s="19" t="e">
        <f>#REF!&amp;" "&amp;#REF!</f>
        <v>#REF!</v>
      </c>
      <c r="J66" s="16">
        <v>0.158</v>
      </c>
      <c r="K66" s="20">
        <v>628.70000000000005</v>
      </c>
      <c r="L66" s="21"/>
      <c r="M66" s="16"/>
      <c r="N66" s="16"/>
      <c r="O66" s="20" t="e">
        <f>IF(#REF!="Closed",#REF!/#REF!,"")</f>
        <v>#REF!</v>
      </c>
      <c r="P66" s="20"/>
    </row>
    <row r="67" spans="2:16" ht="14" customHeight="1" x14ac:dyDescent="0.2">
      <c r="B67" s="16" t="s">
        <v>41</v>
      </c>
      <c r="C67" s="16" t="e">
        <f t="array" ref="C67">_xlfn.XLOOKUP(#REF!,#REF!,#REF!)</f>
        <v>#REF!</v>
      </c>
      <c r="D67" s="16" t="e">
        <f t="array" ref="D67">_xlfn.XLOOKUP(#REF!,#REF!,#REF!)</f>
        <v>#REF!</v>
      </c>
      <c r="E67" s="16" t="s">
        <v>37</v>
      </c>
      <c r="F67" s="16" t="s">
        <v>42</v>
      </c>
      <c r="G67" s="17" t="e">
        <f t="array" ref="G67">_xlfn.XLOOKUP(#REF!,Table36[[#All],[Symbol]],Table36[[#All],[Security Description]])</f>
        <v>#REF!</v>
      </c>
      <c r="H67" s="18">
        <v>45996</v>
      </c>
      <c r="I67" s="19" t="e">
        <f>#REF!&amp;" "&amp;#REF!</f>
        <v>#REF!</v>
      </c>
      <c r="J67" s="16">
        <v>3.9E-2</v>
      </c>
      <c r="K67" s="20">
        <v>632.55999999999995</v>
      </c>
      <c r="L67" s="21"/>
      <c r="M67" s="16"/>
      <c r="N67" s="16"/>
      <c r="O67" s="20" t="e">
        <f>IF(#REF!="Closed",#REF!/#REF!,"")</f>
        <v>#REF!</v>
      </c>
      <c r="P67" s="20"/>
    </row>
    <row r="68" spans="2:16" ht="14" customHeight="1" x14ac:dyDescent="0.2">
      <c r="B68" s="16" t="s">
        <v>41</v>
      </c>
      <c r="C68" s="16" t="e">
        <f t="array" ref="C68">_xlfn.XLOOKUP(#REF!,#REF!,#REF!)</f>
        <v>#REF!</v>
      </c>
      <c r="D68" s="16" t="e">
        <f t="array" ref="D68">_xlfn.XLOOKUP(#REF!,#REF!,#REF!)</f>
        <v>#REF!</v>
      </c>
      <c r="E68" s="16" t="s">
        <v>37</v>
      </c>
      <c r="F68" s="16" t="s">
        <v>42</v>
      </c>
      <c r="G68" s="17" t="e">
        <f t="array" ref="G68">_xlfn.XLOOKUP(#REF!,Table36[[#All],[Symbol]],Table36[[#All],[Security Description]])</f>
        <v>#REF!</v>
      </c>
      <c r="H68" s="18">
        <v>46000</v>
      </c>
      <c r="I68" s="19" t="e">
        <f>#REF!&amp;" "&amp;#REF!</f>
        <v>#REF!</v>
      </c>
      <c r="J68" s="16">
        <v>0.158</v>
      </c>
      <c r="K68" s="20">
        <v>629.66999999999996</v>
      </c>
      <c r="L68" s="21"/>
      <c r="M68" s="16"/>
      <c r="N68" s="16"/>
      <c r="O68" s="20" t="e">
        <f>IF(#REF!="Closed",#REF!/#REF!,"")</f>
        <v>#REF!</v>
      </c>
      <c r="P68" s="20"/>
    </row>
    <row r="69" spans="2:16" ht="14" customHeight="1" x14ac:dyDescent="0.2">
      <c r="B69" s="16" t="s">
        <v>41</v>
      </c>
      <c r="C69" s="16" t="e">
        <f t="array" ref="C69">_xlfn.XLOOKUP(#REF!,#REF!,#REF!)</f>
        <v>#REF!</v>
      </c>
      <c r="D69" s="16" t="e">
        <f t="array" ref="D69">_xlfn.XLOOKUP(#REF!,#REF!,#REF!)</f>
        <v>#REF!</v>
      </c>
      <c r="E69" s="16" t="s">
        <v>37</v>
      </c>
      <c r="F69" s="16" t="s">
        <v>42</v>
      </c>
      <c r="G69" s="17" t="e">
        <f t="array" ref="G69">_xlfn.XLOOKUP(#REF!,Table36[[#All],[Symbol]],Table36[[#All],[Security Description]])</f>
        <v>#REF!</v>
      </c>
      <c r="H69" s="18">
        <v>46003</v>
      </c>
      <c r="I69" s="19" t="e">
        <f>#REF!&amp;" "&amp;#REF!</f>
        <v>#REF!</v>
      </c>
      <c r="J69" s="16">
        <v>3.9E-2</v>
      </c>
      <c r="K69" s="20">
        <v>631.34</v>
      </c>
      <c r="L69" s="21"/>
      <c r="M69" s="16"/>
      <c r="N69" s="16"/>
      <c r="O69" s="20" t="e">
        <f>IF(#REF!="Closed",#REF!/#REF!,"")</f>
        <v>#REF!</v>
      </c>
      <c r="P69" s="20"/>
    </row>
    <row r="70" spans="2:16" ht="14" customHeight="1" x14ac:dyDescent="0.2">
      <c r="B70" s="16" t="s">
        <v>41</v>
      </c>
      <c r="C70" s="16" t="e">
        <f t="array" ref="C70">_xlfn.XLOOKUP(#REF!,#REF!,#REF!)</f>
        <v>#REF!</v>
      </c>
      <c r="D70" s="16" t="e">
        <f t="array" ref="D70">_xlfn.XLOOKUP(#REF!,#REF!,#REF!)</f>
        <v>#REF!</v>
      </c>
      <c r="E70" s="16" t="s">
        <v>37</v>
      </c>
      <c r="F70" s="16" t="s">
        <v>42</v>
      </c>
      <c r="G70" s="17" t="e">
        <f t="array" ref="G70">_xlfn.XLOOKUP(#REF!,Table36[[#All],[Symbol]],Table36[[#All],[Security Description]])</f>
        <v>#REF!</v>
      </c>
      <c r="H70" s="18">
        <v>46007</v>
      </c>
      <c r="I70" s="19" t="e">
        <f>#REF!&amp;" "&amp;#REF!</f>
        <v>#REF!</v>
      </c>
      <c r="J70" s="16">
        <v>0.159</v>
      </c>
      <c r="K70" s="20">
        <v>625.91</v>
      </c>
      <c r="L70" s="21"/>
      <c r="M70" s="16"/>
      <c r="N70" s="16"/>
      <c r="O70" s="20" t="e">
        <f>IF(#REF!="Closed",#REF!/#REF!,"")</f>
        <v>#REF!</v>
      </c>
      <c r="P70" s="20"/>
    </row>
    <row r="71" spans="2:16" ht="14" customHeight="1" x14ac:dyDescent="0.2">
      <c r="B71" s="16" t="s">
        <v>41</v>
      </c>
      <c r="C71" s="16" t="e">
        <f t="array" ref="C71">_xlfn.XLOOKUP(#REF!,#REF!,#REF!)</f>
        <v>#REF!</v>
      </c>
      <c r="D71" s="16" t="e">
        <f t="array" ref="D71">_xlfn.XLOOKUP(#REF!,#REF!,#REF!)</f>
        <v>#REF!</v>
      </c>
      <c r="E71" s="16" t="s">
        <v>37</v>
      </c>
      <c r="F71" s="16" t="s">
        <v>42</v>
      </c>
      <c r="G71" s="17" t="e">
        <f t="array" ref="G71">_xlfn.XLOOKUP(#REF!,Table36[[#All],[Symbol]],Table36[[#All],[Security Description]])</f>
        <v>#REF!</v>
      </c>
      <c r="H71" s="18">
        <v>46010</v>
      </c>
      <c r="I71" s="19" t="e">
        <f>#REF!&amp;" "&amp;#REF!</f>
        <v>#REF!</v>
      </c>
      <c r="J71" s="16">
        <v>3.9E-2</v>
      </c>
      <c r="K71" s="20">
        <v>626.91999999999996</v>
      </c>
      <c r="L71" s="21"/>
      <c r="M71" s="16"/>
      <c r="N71" s="16"/>
      <c r="O71" s="20" t="e">
        <f>IF(#REF!="Closed",#REF!/#REF!,"")</f>
        <v>#REF!</v>
      </c>
      <c r="P71" s="20"/>
    </row>
    <row r="72" spans="2:16" ht="14" customHeight="1" x14ac:dyDescent="0.2">
      <c r="B72" s="16" t="s">
        <v>41</v>
      </c>
      <c r="C72" s="16" t="e">
        <f t="array" ref="C72">_xlfn.XLOOKUP(#REF!,#REF!,#REF!)</f>
        <v>#REF!</v>
      </c>
      <c r="D72" s="16" t="e">
        <f t="array" ref="D72">_xlfn.XLOOKUP(#REF!,#REF!,#REF!)</f>
        <v>#REF!</v>
      </c>
      <c r="E72" s="16" t="s">
        <v>37</v>
      </c>
      <c r="F72" s="16" t="s">
        <v>42</v>
      </c>
      <c r="G72" s="17" t="e">
        <f t="array" ref="G72">_xlfn.XLOOKUP(#REF!,Table36[[#All],[Symbol]],Table36[[#All],[Security Description]])</f>
        <v>#REF!</v>
      </c>
      <c r="H72" s="18">
        <v>46017</v>
      </c>
      <c r="I72" s="19" t="e">
        <f>#REF!&amp;" "&amp;#REF!</f>
        <v>#REF!</v>
      </c>
      <c r="J72" s="16">
        <v>3.9E-2</v>
      </c>
      <c r="K72" s="20">
        <v>634.36</v>
      </c>
      <c r="L72" s="21"/>
      <c r="M72" s="16"/>
      <c r="N72" s="16"/>
      <c r="O72" s="20" t="e">
        <f>IF(#REF!="Closed",#REF!/#REF!,"")</f>
        <v>#REF!</v>
      </c>
      <c r="P72" s="20"/>
    </row>
    <row r="73" spans="2:16" ht="14" customHeight="1" x14ac:dyDescent="0.2">
      <c r="B73" s="16" t="s">
        <v>41</v>
      </c>
      <c r="C73" s="16" t="e">
        <f t="array" ref="C73">_xlfn.XLOOKUP(#REF!,#REF!,#REF!)</f>
        <v>#REF!</v>
      </c>
      <c r="D73" s="16" t="e">
        <f t="array" ref="D73">_xlfn.XLOOKUP(#REF!,#REF!,#REF!)</f>
        <v>#REF!</v>
      </c>
      <c r="E73" s="16" t="s">
        <v>37</v>
      </c>
      <c r="F73" s="16" t="s">
        <v>42</v>
      </c>
      <c r="G73" s="17" t="e">
        <f t="array" ref="G73">_xlfn.XLOOKUP(#REF!,Table36[[#All],[Symbol]],Table36[[#All],[Security Description]])</f>
        <v>#REF!</v>
      </c>
      <c r="H73" s="18">
        <v>46121</v>
      </c>
      <c r="I73" s="19" t="e">
        <f>#REF!&amp;" "&amp;#REF!</f>
        <v>#REF!</v>
      </c>
      <c r="J73" s="16">
        <v>3.9E-2</v>
      </c>
      <c r="K73" s="20">
        <v>643.33000000000004</v>
      </c>
      <c r="L73" s="21"/>
      <c r="M73" s="16"/>
      <c r="N73" s="16"/>
      <c r="O73" s="20" t="e">
        <f>IF(#REF!="Closed",#REF!/#REF!,"")</f>
        <v>#REF!</v>
      </c>
      <c r="P73" s="20"/>
    </row>
    <row r="74" spans="2:16" ht="14" customHeight="1" x14ac:dyDescent="0.2">
      <c r="B74" s="16" t="s">
        <v>41</v>
      </c>
      <c r="C74" s="16" t="e">
        <f t="array" ref="C74">_xlfn.XLOOKUP(#REF!,#REF!,#REF!)</f>
        <v>#REF!</v>
      </c>
      <c r="D74" s="16" t="e">
        <f t="array" ref="D74">_xlfn.XLOOKUP(#REF!,#REF!,#REF!)</f>
        <v>#REF!</v>
      </c>
      <c r="E74" s="16" t="s">
        <v>37</v>
      </c>
      <c r="F74" s="16" t="s">
        <v>42</v>
      </c>
      <c r="G74" s="17" t="e">
        <f t="array" ref="G74">_xlfn.XLOOKUP(#REF!,Table36[[#All],[Symbol]],Table36[[#All],[Security Description]])</f>
        <v>#REF!</v>
      </c>
      <c r="H74" s="18">
        <v>46128</v>
      </c>
      <c r="I74" s="19" t="e">
        <f>#REF!&amp;" "&amp;#REF!</f>
        <v>#REF!</v>
      </c>
      <c r="J74" s="16">
        <v>3.7999999999999999E-2</v>
      </c>
      <c r="K74" s="20">
        <v>644.73684211</v>
      </c>
      <c r="L74" s="19"/>
      <c r="M74" s="22"/>
      <c r="N74" s="16"/>
      <c r="O74" s="20" t="e">
        <f>IF(#REF!="Closed",#REF!/#REF!,"")</f>
        <v>#REF!</v>
      </c>
      <c r="P74" s="23"/>
    </row>
  </sheetData>
  <pageMargins left="0.7" right="0.7" top="0.75" bottom="0.75" header="0.3" footer="0.3"/>
  <pageSetup orientation="portrait" useFirstPageNumber="1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C123"/>
  <sheetViews>
    <sheetView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11" customWidth="1"/>
    <col min="3" max="3" width="80.83203125" style="11" customWidth="1"/>
    <col min="4" max="4" width="10.83203125" style="11" customWidth="1"/>
    <col min="5" max="16384" width="10.83203125" style="11"/>
  </cols>
  <sheetData>
    <row r="2" spans="2:3" ht="29" customHeight="1" x14ac:dyDescent="0.2">
      <c r="B2" s="24" t="s">
        <v>23</v>
      </c>
      <c r="C2" s="24" t="s">
        <v>24</v>
      </c>
    </row>
    <row r="3" spans="2:3" x14ac:dyDescent="0.2">
      <c r="B3" s="25" t="s">
        <v>36</v>
      </c>
      <c r="C3" s="25" t="s">
        <v>48</v>
      </c>
    </row>
    <row r="4" spans="2:3" x14ac:dyDescent="0.2">
      <c r="B4" s="25" t="s">
        <v>49</v>
      </c>
      <c r="C4" s="25" t="s">
        <v>50</v>
      </c>
    </row>
    <row r="5" spans="2:3" x14ac:dyDescent="0.2">
      <c r="B5" s="25" t="s">
        <v>51</v>
      </c>
      <c r="C5" s="25" t="s">
        <v>52</v>
      </c>
    </row>
    <row r="6" spans="2:3" x14ac:dyDescent="0.2">
      <c r="B6" s="25" t="s">
        <v>53</v>
      </c>
      <c r="C6" s="16" t="s">
        <v>54</v>
      </c>
    </row>
    <row r="7" spans="2:3" x14ac:dyDescent="0.2">
      <c r="B7" s="25" t="s">
        <v>55</v>
      </c>
      <c r="C7" s="25" t="s">
        <v>56</v>
      </c>
    </row>
    <row r="8" spans="2:3" x14ac:dyDescent="0.2">
      <c r="B8" s="25" t="s">
        <v>57</v>
      </c>
      <c r="C8" s="25" t="s">
        <v>58</v>
      </c>
    </row>
    <row r="9" spans="2:3" x14ac:dyDescent="0.2">
      <c r="B9" s="25" t="s">
        <v>59</v>
      </c>
      <c r="C9" s="25" t="s">
        <v>60</v>
      </c>
    </row>
    <row r="10" spans="2:3" x14ac:dyDescent="0.2">
      <c r="B10" s="25" t="s">
        <v>61</v>
      </c>
      <c r="C10" s="26" t="s">
        <v>62</v>
      </c>
    </row>
    <row r="11" spans="2:3" x14ac:dyDescent="0.2">
      <c r="B11" s="25" t="s">
        <v>63</v>
      </c>
      <c r="C11" s="25" t="s">
        <v>64</v>
      </c>
    </row>
    <row r="12" spans="2:3" x14ac:dyDescent="0.2">
      <c r="B12" s="25" t="s">
        <v>65</v>
      </c>
      <c r="C12" s="25" t="s">
        <v>66</v>
      </c>
    </row>
    <row r="13" spans="2:3" x14ac:dyDescent="0.2">
      <c r="B13" s="25" t="s">
        <v>67</v>
      </c>
      <c r="C13" s="25" t="s">
        <v>68</v>
      </c>
    </row>
    <row r="14" spans="2:3" x14ac:dyDescent="0.2">
      <c r="B14" s="25" t="s">
        <v>69</v>
      </c>
      <c r="C14" s="25" t="s">
        <v>70</v>
      </c>
    </row>
    <row r="15" spans="2:3" x14ac:dyDescent="0.2">
      <c r="B15" s="25" t="s">
        <v>71</v>
      </c>
      <c r="C15" s="25" t="s">
        <v>72</v>
      </c>
    </row>
    <row r="16" spans="2:3" x14ac:dyDescent="0.2">
      <c r="B16" s="25" t="s">
        <v>73</v>
      </c>
      <c r="C16" s="25" t="s">
        <v>74</v>
      </c>
    </row>
    <row r="17" spans="2:3" x14ac:dyDescent="0.2">
      <c r="B17" s="25" t="s">
        <v>75</v>
      </c>
      <c r="C17" s="25" t="s">
        <v>76</v>
      </c>
    </row>
    <row r="18" spans="2:3" x14ac:dyDescent="0.2">
      <c r="B18" s="25" t="s">
        <v>75</v>
      </c>
      <c r="C18" s="25" t="s">
        <v>77</v>
      </c>
    </row>
    <row r="19" spans="2:3" x14ac:dyDescent="0.2">
      <c r="B19" s="25" t="s">
        <v>78</v>
      </c>
      <c r="C19" s="25" t="s">
        <v>79</v>
      </c>
    </row>
    <row r="20" spans="2:3" x14ac:dyDescent="0.2">
      <c r="B20" s="25" t="s">
        <v>80</v>
      </c>
      <c r="C20" s="25" t="s">
        <v>81</v>
      </c>
    </row>
    <row r="21" spans="2:3" x14ac:dyDescent="0.2">
      <c r="B21" s="25" t="s">
        <v>82</v>
      </c>
      <c r="C21" s="25" t="s">
        <v>83</v>
      </c>
    </row>
    <row r="22" spans="2:3" x14ac:dyDescent="0.2">
      <c r="B22" s="25" t="s">
        <v>84</v>
      </c>
      <c r="C22" s="25" t="s">
        <v>85</v>
      </c>
    </row>
    <row r="23" spans="2:3" x14ac:dyDescent="0.2">
      <c r="B23" s="25" t="s">
        <v>86</v>
      </c>
      <c r="C23" s="25" t="s">
        <v>87</v>
      </c>
    </row>
    <row r="24" spans="2:3" x14ac:dyDescent="0.2">
      <c r="B24" s="25" t="s">
        <v>88</v>
      </c>
      <c r="C24" s="25" t="s">
        <v>89</v>
      </c>
    </row>
    <row r="25" spans="2:3" x14ac:dyDescent="0.2">
      <c r="B25" s="25" t="s">
        <v>90</v>
      </c>
      <c r="C25" s="25" t="s">
        <v>91</v>
      </c>
    </row>
    <row r="26" spans="2:3" x14ac:dyDescent="0.2">
      <c r="B26" s="25" t="s">
        <v>92</v>
      </c>
      <c r="C26" s="25" t="s">
        <v>93</v>
      </c>
    </row>
    <row r="27" spans="2:3" x14ac:dyDescent="0.2">
      <c r="B27" s="25" t="s">
        <v>94</v>
      </c>
      <c r="C27" s="25" t="s">
        <v>95</v>
      </c>
    </row>
    <row r="28" spans="2:3" x14ac:dyDescent="0.2">
      <c r="B28" s="25" t="s">
        <v>96</v>
      </c>
      <c r="C28" s="25" t="s">
        <v>97</v>
      </c>
    </row>
    <row r="29" spans="2:3" x14ac:dyDescent="0.2">
      <c r="B29" s="25" t="s">
        <v>98</v>
      </c>
      <c r="C29" s="25" t="s">
        <v>99</v>
      </c>
    </row>
    <row r="30" spans="2:3" x14ac:dyDescent="0.2">
      <c r="B30" s="25" t="s">
        <v>100</v>
      </c>
      <c r="C30" s="25" t="s">
        <v>101</v>
      </c>
    </row>
    <row r="31" spans="2:3" x14ac:dyDescent="0.2">
      <c r="B31" s="25" t="s">
        <v>102</v>
      </c>
      <c r="C31" s="25" t="s">
        <v>103</v>
      </c>
    </row>
    <row r="32" spans="2:3" x14ac:dyDescent="0.2">
      <c r="B32" s="25" t="s">
        <v>104</v>
      </c>
      <c r="C32" s="25" t="s">
        <v>105</v>
      </c>
    </row>
    <row r="33" spans="2:3" x14ac:dyDescent="0.2">
      <c r="B33" s="25" t="s">
        <v>106</v>
      </c>
      <c r="C33" s="25" t="s">
        <v>107</v>
      </c>
    </row>
    <row r="34" spans="2:3" x14ac:dyDescent="0.2">
      <c r="B34" s="25" t="s">
        <v>108</v>
      </c>
      <c r="C34" s="25" t="s">
        <v>109</v>
      </c>
    </row>
    <row r="35" spans="2:3" x14ac:dyDescent="0.2">
      <c r="B35" s="25" t="s">
        <v>110</v>
      </c>
      <c r="C35" s="25" t="s">
        <v>111</v>
      </c>
    </row>
    <row r="36" spans="2:3" x14ac:dyDescent="0.2">
      <c r="B36" s="25" t="s">
        <v>112</v>
      </c>
      <c r="C36" s="25" t="s">
        <v>113</v>
      </c>
    </row>
    <row r="37" spans="2:3" x14ac:dyDescent="0.2">
      <c r="B37" s="25" t="s">
        <v>114</v>
      </c>
      <c r="C37" s="25" t="s">
        <v>115</v>
      </c>
    </row>
    <row r="38" spans="2:3" x14ac:dyDescent="0.2">
      <c r="B38" s="25" t="s">
        <v>116</v>
      </c>
      <c r="C38" s="25" t="s">
        <v>117</v>
      </c>
    </row>
    <row r="39" spans="2:3" x14ac:dyDescent="0.2">
      <c r="B39" s="25" t="s">
        <v>118</v>
      </c>
      <c r="C39" s="25" t="s">
        <v>119</v>
      </c>
    </row>
    <row r="40" spans="2:3" x14ac:dyDescent="0.2">
      <c r="B40" s="25" t="s">
        <v>120</v>
      </c>
      <c r="C40" s="25" t="s">
        <v>121</v>
      </c>
    </row>
    <row r="41" spans="2:3" x14ac:dyDescent="0.2">
      <c r="B41" s="25" t="s">
        <v>122</v>
      </c>
      <c r="C41" s="25" t="s">
        <v>123</v>
      </c>
    </row>
    <row r="42" spans="2:3" x14ac:dyDescent="0.2">
      <c r="B42" s="25" t="s">
        <v>124</v>
      </c>
      <c r="C42" s="25" t="s">
        <v>125</v>
      </c>
    </row>
    <row r="43" spans="2:3" x14ac:dyDescent="0.2">
      <c r="B43" s="25" t="s">
        <v>126</v>
      </c>
      <c r="C43" s="25" t="s">
        <v>127</v>
      </c>
    </row>
    <row r="44" spans="2:3" x14ac:dyDescent="0.2">
      <c r="B44" s="25" t="s">
        <v>128</v>
      </c>
      <c r="C44" s="25" t="s">
        <v>129</v>
      </c>
    </row>
    <row r="45" spans="2:3" x14ac:dyDescent="0.2">
      <c r="B45" s="25" t="s">
        <v>130</v>
      </c>
      <c r="C45" s="25" t="s">
        <v>131</v>
      </c>
    </row>
    <row r="46" spans="2:3" x14ac:dyDescent="0.2">
      <c r="B46" s="25" t="s">
        <v>132</v>
      </c>
      <c r="C46" s="25" t="s">
        <v>133</v>
      </c>
    </row>
    <row r="47" spans="2:3" x14ac:dyDescent="0.2">
      <c r="B47" s="25" t="s">
        <v>134</v>
      </c>
      <c r="C47" s="25" t="s">
        <v>135</v>
      </c>
    </row>
    <row r="48" spans="2:3" x14ac:dyDescent="0.2">
      <c r="B48" s="25" t="s">
        <v>136</v>
      </c>
      <c r="C48" s="25" t="s">
        <v>137</v>
      </c>
    </row>
    <row r="49" spans="2:3" x14ac:dyDescent="0.2">
      <c r="B49" s="25" t="s">
        <v>138</v>
      </c>
      <c r="C49" s="25" t="s">
        <v>139</v>
      </c>
    </row>
    <row r="50" spans="2:3" x14ac:dyDescent="0.2">
      <c r="B50" s="25" t="s">
        <v>140</v>
      </c>
      <c r="C50" s="25" t="s">
        <v>141</v>
      </c>
    </row>
    <row r="51" spans="2:3" x14ac:dyDescent="0.2">
      <c r="B51" s="25" t="s">
        <v>142</v>
      </c>
      <c r="C51" s="25" t="s">
        <v>143</v>
      </c>
    </row>
    <row r="52" spans="2:3" x14ac:dyDescent="0.2">
      <c r="B52" s="25" t="s">
        <v>142</v>
      </c>
      <c r="C52" s="25" t="s">
        <v>144</v>
      </c>
    </row>
    <row r="53" spans="2:3" x14ac:dyDescent="0.2">
      <c r="B53" s="25" t="s">
        <v>142</v>
      </c>
      <c r="C53" s="27" t="s">
        <v>144</v>
      </c>
    </row>
    <row r="54" spans="2:3" x14ac:dyDescent="0.2">
      <c r="B54" s="25" t="s">
        <v>145</v>
      </c>
      <c r="C54" s="25" t="s">
        <v>146</v>
      </c>
    </row>
    <row r="55" spans="2:3" x14ac:dyDescent="0.2">
      <c r="B55" s="25" t="s">
        <v>147</v>
      </c>
      <c r="C55" s="25" t="s">
        <v>148</v>
      </c>
    </row>
    <row r="56" spans="2:3" x14ac:dyDescent="0.2">
      <c r="B56" s="25" t="s">
        <v>149</v>
      </c>
      <c r="C56" s="25" t="s">
        <v>150</v>
      </c>
    </row>
    <row r="57" spans="2:3" x14ac:dyDescent="0.2">
      <c r="B57" s="25" t="s">
        <v>151</v>
      </c>
      <c r="C57" s="25" t="s">
        <v>152</v>
      </c>
    </row>
    <row r="58" spans="2:3" x14ac:dyDescent="0.2">
      <c r="B58" s="25" t="s">
        <v>153</v>
      </c>
      <c r="C58" s="25" t="s">
        <v>154</v>
      </c>
    </row>
    <row r="59" spans="2:3" x14ac:dyDescent="0.2">
      <c r="B59" s="25" t="s">
        <v>155</v>
      </c>
      <c r="C59" s="25" t="s">
        <v>156</v>
      </c>
    </row>
    <row r="60" spans="2:3" x14ac:dyDescent="0.2">
      <c r="B60" s="25" t="s">
        <v>157</v>
      </c>
      <c r="C60" s="25" t="s">
        <v>158</v>
      </c>
    </row>
    <row r="61" spans="2:3" x14ac:dyDescent="0.2">
      <c r="B61" s="25" t="s">
        <v>159</v>
      </c>
      <c r="C61" s="25" t="s">
        <v>160</v>
      </c>
    </row>
    <row r="62" spans="2:3" x14ac:dyDescent="0.2">
      <c r="B62" s="25" t="s">
        <v>161</v>
      </c>
      <c r="C62" s="25" t="s">
        <v>162</v>
      </c>
    </row>
    <row r="63" spans="2:3" x14ac:dyDescent="0.2">
      <c r="B63" s="25" t="s">
        <v>163</v>
      </c>
      <c r="C63" s="25" t="s">
        <v>164</v>
      </c>
    </row>
    <row r="64" spans="2:3" x14ac:dyDescent="0.2">
      <c r="B64" s="25" t="s">
        <v>165</v>
      </c>
      <c r="C64" s="25" t="s">
        <v>166</v>
      </c>
    </row>
    <row r="65" spans="2:3" x14ac:dyDescent="0.2">
      <c r="B65" s="25" t="s">
        <v>167</v>
      </c>
      <c r="C65" s="25" t="s">
        <v>168</v>
      </c>
    </row>
    <row r="66" spans="2:3" x14ac:dyDescent="0.2">
      <c r="B66" s="25" t="s">
        <v>169</v>
      </c>
      <c r="C66" s="25" t="s">
        <v>170</v>
      </c>
    </row>
    <row r="67" spans="2:3" x14ac:dyDescent="0.2">
      <c r="B67" s="25" t="s">
        <v>171</v>
      </c>
      <c r="C67" s="25" t="s">
        <v>172</v>
      </c>
    </row>
    <row r="68" spans="2:3" x14ac:dyDescent="0.2">
      <c r="B68" s="25" t="s">
        <v>173</v>
      </c>
      <c r="C68" s="25" t="s">
        <v>174</v>
      </c>
    </row>
    <row r="69" spans="2:3" x14ac:dyDescent="0.2">
      <c r="B69" s="25" t="s">
        <v>175</v>
      </c>
      <c r="C69" s="25" t="s">
        <v>176</v>
      </c>
    </row>
    <row r="70" spans="2:3" x14ac:dyDescent="0.2">
      <c r="B70" s="25" t="s">
        <v>177</v>
      </c>
      <c r="C70" s="25" t="s">
        <v>133</v>
      </c>
    </row>
    <row r="71" spans="2:3" x14ac:dyDescent="0.2">
      <c r="B71" s="25" t="s">
        <v>178</v>
      </c>
      <c r="C71" s="25" t="s">
        <v>179</v>
      </c>
    </row>
    <row r="72" spans="2:3" x14ac:dyDescent="0.2">
      <c r="B72" s="25" t="s">
        <v>180</v>
      </c>
      <c r="C72" s="25" t="s">
        <v>181</v>
      </c>
    </row>
    <row r="73" spans="2:3" x14ac:dyDescent="0.2">
      <c r="B73" s="25" t="s">
        <v>182</v>
      </c>
      <c r="C73" s="25" t="s">
        <v>183</v>
      </c>
    </row>
    <row r="74" spans="2:3" x14ac:dyDescent="0.2">
      <c r="B74" s="25" t="s">
        <v>184</v>
      </c>
      <c r="C74" s="25" t="s">
        <v>185</v>
      </c>
    </row>
    <row r="75" spans="2:3" x14ac:dyDescent="0.2">
      <c r="B75" s="25" t="s">
        <v>186</v>
      </c>
      <c r="C75" s="25" t="s">
        <v>187</v>
      </c>
    </row>
    <row r="76" spans="2:3" x14ac:dyDescent="0.2">
      <c r="B76" s="25" t="s">
        <v>188</v>
      </c>
      <c r="C76" s="25" t="s">
        <v>189</v>
      </c>
    </row>
    <row r="77" spans="2:3" x14ac:dyDescent="0.2">
      <c r="B77" s="25" t="s">
        <v>40</v>
      </c>
      <c r="C77" s="25" t="s">
        <v>190</v>
      </c>
    </row>
    <row r="78" spans="2:3" x14ac:dyDescent="0.2">
      <c r="B78" s="25" t="s">
        <v>191</v>
      </c>
      <c r="C78" s="25" t="s">
        <v>192</v>
      </c>
    </row>
    <row r="79" spans="2:3" x14ac:dyDescent="0.2">
      <c r="B79" s="25" t="s">
        <v>191</v>
      </c>
      <c r="C79" s="25" t="s">
        <v>193</v>
      </c>
    </row>
    <row r="80" spans="2:3" x14ac:dyDescent="0.2">
      <c r="B80" s="25" t="s">
        <v>194</v>
      </c>
      <c r="C80" s="25" t="s">
        <v>195</v>
      </c>
    </row>
    <row r="81" spans="2:3" x14ac:dyDescent="0.2">
      <c r="B81" s="25" t="s">
        <v>196</v>
      </c>
      <c r="C81" s="25" t="s">
        <v>197</v>
      </c>
    </row>
    <row r="82" spans="2:3" x14ac:dyDescent="0.2">
      <c r="B82" s="25" t="s">
        <v>198</v>
      </c>
      <c r="C82" s="25" t="s">
        <v>199</v>
      </c>
    </row>
    <row r="83" spans="2:3" x14ac:dyDescent="0.2">
      <c r="B83" s="25" t="s">
        <v>200</v>
      </c>
      <c r="C83" s="25" t="s">
        <v>201</v>
      </c>
    </row>
    <row r="84" spans="2:3" x14ac:dyDescent="0.2">
      <c r="B84" s="25" t="s">
        <v>202</v>
      </c>
      <c r="C84" s="25" t="s">
        <v>203</v>
      </c>
    </row>
    <row r="85" spans="2:3" x14ac:dyDescent="0.2">
      <c r="B85" s="25" t="s">
        <v>204</v>
      </c>
      <c r="C85" s="25" t="s">
        <v>205</v>
      </c>
    </row>
    <row r="86" spans="2:3" x14ac:dyDescent="0.2">
      <c r="B86" s="25" t="s">
        <v>206</v>
      </c>
      <c r="C86" s="25" t="s">
        <v>207</v>
      </c>
    </row>
    <row r="87" spans="2:3" x14ac:dyDescent="0.2">
      <c r="B87" s="25" t="s">
        <v>208</v>
      </c>
      <c r="C87" s="25" t="s">
        <v>209</v>
      </c>
    </row>
    <row r="88" spans="2:3" x14ac:dyDescent="0.2">
      <c r="B88" s="25" t="s">
        <v>210</v>
      </c>
      <c r="C88" s="25" t="s">
        <v>211</v>
      </c>
    </row>
    <row r="89" spans="2:3" x14ac:dyDescent="0.2">
      <c r="B89" s="25" t="s">
        <v>212</v>
      </c>
      <c r="C89" s="25" t="s">
        <v>213</v>
      </c>
    </row>
    <row r="90" spans="2:3" x14ac:dyDescent="0.2">
      <c r="B90" s="25" t="s">
        <v>214</v>
      </c>
      <c r="C90" s="25" t="s">
        <v>215</v>
      </c>
    </row>
    <row r="91" spans="2:3" x14ac:dyDescent="0.2">
      <c r="B91" s="25" t="s">
        <v>216</v>
      </c>
      <c r="C91" s="25" t="s">
        <v>217</v>
      </c>
    </row>
    <row r="92" spans="2:3" x14ac:dyDescent="0.2">
      <c r="B92" s="25" t="s">
        <v>218</v>
      </c>
      <c r="C92" s="25" t="s">
        <v>219</v>
      </c>
    </row>
    <row r="93" spans="2:3" x14ac:dyDescent="0.2">
      <c r="B93" s="25" t="s">
        <v>220</v>
      </c>
      <c r="C93" s="25" t="s">
        <v>221</v>
      </c>
    </row>
    <row r="94" spans="2:3" x14ac:dyDescent="0.2">
      <c r="B94" s="25" t="s">
        <v>222</v>
      </c>
      <c r="C94" s="25" t="s">
        <v>223</v>
      </c>
    </row>
    <row r="95" spans="2:3" x14ac:dyDescent="0.2">
      <c r="B95" s="25" t="s">
        <v>224</v>
      </c>
      <c r="C95" s="25" t="s">
        <v>225</v>
      </c>
    </row>
    <row r="96" spans="2:3" x14ac:dyDescent="0.2">
      <c r="B96" s="25" t="s">
        <v>226</v>
      </c>
      <c r="C96" s="25" t="s">
        <v>227</v>
      </c>
    </row>
    <row r="97" spans="2:3" x14ac:dyDescent="0.2">
      <c r="B97" s="25" t="s">
        <v>228</v>
      </c>
      <c r="C97" s="25" t="s">
        <v>229</v>
      </c>
    </row>
    <row r="98" spans="2:3" x14ac:dyDescent="0.2">
      <c r="B98" s="25" t="s">
        <v>230</v>
      </c>
      <c r="C98" s="25" t="s">
        <v>231</v>
      </c>
    </row>
    <row r="99" spans="2:3" x14ac:dyDescent="0.2">
      <c r="B99" s="25" t="s">
        <v>232</v>
      </c>
      <c r="C99" s="25" t="s">
        <v>233</v>
      </c>
    </row>
    <row r="100" spans="2:3" x14ac:dyDescent="0.2">
      <c r="B100" s="25" t="s">
        <v>234</v>
      </c>
      <c r="C100" s="25" t="s">
        <v>235</v>
      </c>
    </row>
    <row r="101" spans="2:3" x14ac:dyDescent="0.2">
      <c r="B101" s="25" t="s">
        <v>236</v>
      </c>
      <c r="C101" s="25" t="s">
        <v>237</v>
      </c>
    </row>
    <row r="102" spans="2:3" x14ac:dyDescent="0.2">
      <c r="B102" s="25" t="s">
        <v>238</v>
      </c>
      <c r="C102" s="25" t="s">
        <v>239</v>
      </c>
    </row>
    <row r="103" spans="2:3" x14ac:dyDescent="0.2">
      <c r="B103" s="25" t="s">
        <v>240</v>
      </c>
      <c r="C103" s="25" t="s">
        <v>241</v>
      </c>
    </row>
    <row r="104" spans="2:3" x14ac:dyDescent="0.2">
      <c r="B104" s="25" t="s">
        <v>242</v>
      </c>
      <c r="C104" s="25" t="s">
        <v>243</v>
      </c>
    </row>
    <row r="105" spans="2:3" x14ac:dyDescent="0.2">
      <c r="B105" s="25" t="s">
        <v>244</v>
      </c>
      <c r="C105" s="25" t="s">
        <v>245</v>
      </c>
    </row>
    <row r="106" spans="2:3" x14ac:dyDescent="0.2">
      <c r="B106" s="25" t="s">
        <v>246</v>
      </c>
      <c r="C106" s="25" t="s">
        <v>247</v>
      </c>
    </row>
    <row r="107" spans="2:3" x14ac:dyDescent="0.2">
      <c r="B107" s="25" t="s">
        <v>248</v>
      </c>
      <c r="C107" s="25" t="s">
        <v>249</v>
      </c>
    </row>
    <row r="108" spans="2:3" x14ac:dyDescent="0.2">
      <c r="B108" s="25" t="s">
        <v>250</v>
      </c>
      <c r="C108" s="25" t="s">
        <v>251</v>
      </c>
    </row>
    <row r="109" spans="2:3" x14ac:dyDescent="0.2">
      <c r="B109" s="25" t="s">
        <v>252</v>
      </c>
      <c r="C109" s="25" t="s">
        <v>253</v>
      </c>
    </row>
    <row r="110" spans="2:3" x14ac:dyDescent="0.2">
      <c r="B110" s="25" t="s">
        <v>254</v>
      </c>
      <c r="C110" s="25" t="s">
        <v>255</v>
      </c>
    </row>
    <row r="111" spans="2:3" x14ac:dyDescent="0.2">
      <c r="B111" s="25" t="s">
        <v>256</v>
      </c>
      <c r="C111" s="25" t="s">
        <v>257</v>
      </c>
    </row>
    <row r="112" spans="2:3" x14ac:dyDescent="0.2">
      <c r="B112" s="25" t="s">
        <v>258</v>
      </c>
      <c r="C112" s="25" t="s">
        <v>259</v>
      </c>
    </row>
    <row r="113" spans="2:3" x14ac:dyDescent="0.2">
      <c r="B113" s="25" t="s">
        <v>42</v>
      </c>
      <c r="C113" s="25" t="s">
        <v>260</v>
      </c>
    </row>
    <row r="114" spans="2:3" x14ac:dyDescent="0.2">
      <c r="B114" s="25" t="s">
        <v>261</v>
      </c>
      <c r="C114" s="25" t="s">
        <v>262</v>
      </c>
    </row>
    <row r="115" spans="2:3" x14ac:dyDescent="0.2">
      <c r="B115" s="25" t="s">
        <v>263</v>
      </c>
      <c r="C115" s="25" t="s">
        <v>264</v>
      </c>
    </row>
    <row r="116" spans="2:3" x14ac:dyDescent="0.2">
      <c r="B116" s="25" t="s">
        <v>265</v>
      </c>
      <c r="C116" s="25" t="s">
        <v>266</v>
      </c>
    </row>
    <row r="117" spans="2:3" x14ac:dyDescent="0.2">
      <c r="B117" s="25" t="s">
        <v>267</v>
      </c>
      <c r="C117" s="25" t="s">
        <v>268</v>
      </c>
    </row>
    <row r="118" spans="2:3" x14ac:dyDescent="0.2">
      <c r="B118" s="25" t="s">
        <v>269</v>
      </c>
      <c r="C118" s="25" t="s">
        <v>270</v>
      </c>
    </row>
    <row r="119" spans="2:3" x14ac:dyDescent="0.2">
      <c r="B119" s="25" t="s">
        <v>271</v>
      </c>
      <c r="C119" s="25" t="s">
        <v>272</v>
      </c>
    </row>
    <row r="120" spans="2:3" x14ac:dyDescent="0.2">
      <c r="B120" s="25" t="s">
        <v>273</v>
      </c>
      <c r="C120" s="25" t="s">
        <v>274</v>
      </c>
    </row>
    <row r="121" spans="2:3" x14ac:dyDescent="0.2">
      <c r="B121" s="25" t="s">
        <v>275</v>
      </c>
      <c r="C121" s="25" t="s">
        <v>276</v>
      </c>
    </row>
    <row r="122" spans="2:3" x14ac:dyDescent="0.2">
      <c r="B122" s="25" t="s">
        <v>277</v>
      </c>
      <c r="C122" s="25" t="s">
        <v>278</v>
      </c>
    </row>
    <row r="123" spans="2:3" x14ac:dyDescent="0.2">
      <c r="B123" s="28" t="s">
        <v>279</v>
      </c>
      <c r="C123" s="28" t="s">
        <v>280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Lookup Tables</vt:lpstr>
      <vt:lpstr>Accounts</vt:lpstr>
      <vt:lpstr>Net Worth MoM</vt:lpstr>
      <vt:lpstr>Mortgage</vt:lpstr>
      <vt:lpstr>Education Savings</vt:lpstr>
      <vt:lpstr>Brokerage Ledger</vt:lpstr>
      <vt:lpstr>TICKERS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2026-04-28T01:55:51Z</dcterms:modified>
</cp:coreProperties>
</file>