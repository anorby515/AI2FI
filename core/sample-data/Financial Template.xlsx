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500" yWindow="2560" windowWidth="29240" windowHeight="20480" activeTab="7"/>
  </bookViews>
  <sheets>
    <sheet sheetId="8" name="Lookup Tables" state="hidden" r:id="rId4"/>
    <sheet sheetId="4" name="Accounts" state="visible" r:id="rId5"/>
    <sheet sheetId="2" name="Net Worth MoM" state="visible" r:id="rId6"/>
    <sheet sheetId="9" name="Budget" state="visible" r:id="rId7"/>
    <sheet sheetId="1" name="Mortgage" state="visible" r:id="rId8"/>
    <sheet sheetId="7" name="Education Savings" state="visible" r:id="rId9"/>
    <sheet sheetId="10" name="Brokerage Ledger" state="visible" r:id="rId10"/>
    <sheet sheetId="12" name="Pension" state="visible" r:id="rId11"/>
    <sheet sheetId="5" name="TICKERS" state="visible" r:id="rId12"/>
    <sheet sheetId="11" name="Sankey" state="visible" r:id="rId13"/>
  </sheets>
  <calcPr calcId="171027"/>
</workbook>
</file>

<file path=xl/sharedStrings.xml><?xml version="1.0" encoding="utf-8"?>
<sst xmlns="http://schemas.openxmlformats.org/spreadsheetml/2006/main" count="580" uniqueCount="358">
  <si>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</si>
  <si>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</si>
  <si>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</si>
  <si>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</si>
  <si>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</si>
  <si>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</si>
  <si>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</si>
  <si>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</si>
  <si>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</si>
  <si>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</si>
  <si>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</si>
  <si>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</si>
  <si>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</si>
  <si>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</si>
  <si>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</si>
  <si>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</si>
  <si>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</si>
  <si>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</si>
  <si>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</si>
  <si>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</si>
  <si>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Account Type2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</si>
  <si>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</si>
  <si>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</si>
  <si>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</si>
  <si>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</si>
  <si>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</si>
  <si>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</si>
  <si>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</si>
  <si>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</si>
  <si>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</si>
  <si>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</si>
  <si>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</si>
  <si>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</si>
  <si>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</si>
  <si>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</si>
  <si>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</si>
  <si>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</si>
  <si>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</si>
  <si>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</si>
  <si>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</si>
  <si>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</si>
  <si>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</si>
  <si>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</si>
  <si>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</si>
  <si>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</si>
  <si>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</si>
  <si>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</si>
  <si>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</si>
  <si>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</si>
  <si>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</si>
  <si>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</si>
  <si>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</si>
  <si>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</si>
  <si>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</si>
  <si>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</si>
  <si>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</si>
  <si>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</si>
  <si>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</si>
  <si>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</si>
  <si>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</si>
  <si>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</si>
  <si>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</si>
  <si>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</si>
  <si>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</si>
  <si>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</si>
  <si>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</si>
  <si>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</si>
  <si>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</si>
  <si>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</si>
  <si>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</si>
  <si>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</si>
  <si>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</si>
  <si>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</si>
  <si>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</si>
  <si>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</si>
  <si>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</si>
  <si>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</si>
  <si>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</si>
  <si>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</si>
  <si>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</si>
  <si>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</si>
  <si>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</si>
  <si>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</si>
  <si>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</si>
  <si>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</si>
  <si>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</si>
  <si>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</si>
  <si>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</si>
  <si>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</si>
  <si>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</si>
  <si>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</si>
  <si>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Closed</t>
  </si>
  <si>
    <t>AAPL</t>
  </si>
  <si>
    <t>Open</t>
  </si>
  <si>
    <t/>
  </si>
  <si>
    <t>Yes</t>
  </si>
  <si>
    <t>ABNB</t>
  </si>
  <si>
    <t>AMZN</t>
  </si>
  <si>
    <t>Scenario 1</t>
  </si>
  <si>
    <t>Stop Working</t>
  </si>
  <si>
    <t>Benefit Commencement</t>
  </si>
  <si>
    <t>Contemporary Benefit</t>
  </si>
  <si>
    <t>Beneficiary</t>
  </si>
  <si>
    <t>Spouse</t>
  </si>
  <si>
    <t>Beneficiary Date of Birth</t>
  </si>
  <si>
    <t>Salary Increase Percent</t>
  </si>
  <si>
    <t>Short Term Incentive Percent</t>
  </si>
  <si>
    <t>My Date of Birth</t>
  </si>
  <si>
    <t>Contemporary Benefit Options</t>
  </si>
  <si>
    <t>You</t>
  </si>
  <si>
    <t>Surviving Beneficiary</t>
  </si>
  <si>
    <t>Lump Sum</t>
  </si>
  <si>
    <t>One-time</t>
  </si>
  <si>
    <t>When</t>
  </si>
  <si>
    <t>Single Life Annuity</t>
  </si>
  <si>
    <t>Benefit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</si>
  <si>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</si>
  <si>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</si>
  <si>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</si>
  <si>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</si>
  <si>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</si>
  <si>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</si>
  <si>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</si>
  <si>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</si>
  <si>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Senior Supplementary Benefit</t>
  </si>
  <si>
    <t>APPLE INC</t>
  </si>
  <si>
    <t>ABBV</t>
  </si>
  <si>
    <t>ABBVIE INC COM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</si>
  <si>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</si>
  <si>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</si>
  <si>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</si>
  <si>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</si>
  <si>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</si>
  <si>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</si>
  <si>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</si>
  <si>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</si>
  <si>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</si>
  <si>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</si>
  <si>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</si>
  <si>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</si>
  <si>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</si>
  <si>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</si>
  <si>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</si>
  <si>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</si>
  <si>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</si>
  <si>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</si>
  <si>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</si>
  <si>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</si>
  <si>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</si>
  <si>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</si>
  <si>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</si>
  <si>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</si>
  <si>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</si>
  <si>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</si>
  <si>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</si>
  <si>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</si>
  <si>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</si>
  <si>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</si>
  <si>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</si>
  <si>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</si>
  <si>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</si>
  <si>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</si>
  <si>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</si>
  <si>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</si>
  <si>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</si>
  <si>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</si>
  <si>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</si>
  <si>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</si>
  <si>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</si>
  <si>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</si>
  <si>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</si>
  <si>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</si>
  <si>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</si>
  <si>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</si>
  <si>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</si>
  <si>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</si>
  <si>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</si>
  <si>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</si>
  <si>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</si>
  <si>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</si>
  <si>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</si>
  <si>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</si>
  <si>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</si>
  <si>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</si>
  <si>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</si>
  <si>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</si>
  <si>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</si>
  <si>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</si>
  <si>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</si>
  <si>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</si>
  <si>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</si>
  <si>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</si>
  <si>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</si>
  <si>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</si>
  <si>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</si>
  <si>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</si>
  <si>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</si>
  <si>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</si>
  <si>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</si>
  <si>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</si>
  <si>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</si>
  <si>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</si>
  <si>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</si>
  <si>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</si>
  <si>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</si>
  <si>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</si>
  <si>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</si>
  <si>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</si>
  <si>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</si>
  <si>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</si>
  <si>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</si>
  <si>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</si>
  <si>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</si>
  <si>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</si>
  <si>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</si>
  <si>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</si>
  <si>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</si>
  <si>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</si>
  <si>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</si>
  <si>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</si>
  <si>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</si>
  <si>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</si>
  <si>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</si>
  <si>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</si>
  <si>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</si>
  <si>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</si>
  <si>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</si>
  <si>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</si>
  <si>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</si>
  <si>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</si>
  <si>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</si>
  <si>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</si>
  <si>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</si>
  <si>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</si>
  <si>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</si>
  <si>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</si>
  <si>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</si>
  <si>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</si>
  <si>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</si>
  <si>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</si>
  <si>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</si>
  <si>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</si>
  <si>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</si>
  <si>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</si>
  <si>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</si>
  <si>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</si>
  <si>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</si>
  <si>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</si>
  <si>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</si>
  <si>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</si>
  <si>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</si>
  <si>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</si>
  <si>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</si>
  <si>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</si>
  <si>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</si>
  <si>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</si>
  <si>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</si>
  <si>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</si>
  <si>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</si>
  <si>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</si>
  <si>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</si>
  <si>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</si>
  <si>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</si>
  <si>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</si>
  <si>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</si>
  <si>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NFLX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</si>
  <si>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</si>
  <si>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</si>
  <si>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</si>
  <si>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</si>
  <si>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</si>
  <si>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</si>
  <si>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</si>
  <si>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</si>
  <si>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</si>
  <si>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</si>
  <si>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</si>
  <si>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</si>
  <si>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</si>
  <si>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</si>
  <si>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</si>
  <si>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</si>
  <si>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</si>
  <si>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</si>
  <si>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</si>
  <si>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</si>
  <si>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</si>
  <si>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</si>
  <si>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</si>
  <si>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</si>
  <si>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</si>
  <si>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</si>
  <si>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</si>
  <si>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</si>
  <si>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</si>
  <si>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</si>
  <si>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</si>
  <si>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</si>
  <si>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</si>
  <si>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</si>
  <si>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</si>
  <si>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</si>
  <si>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</si>
  <si>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</si>
  <si>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</si>
  <si>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</si>
  <si>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</si>
  <si>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</si>
  <si>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</si>
  <si>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</si>
  <si>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</si>
  <si>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</si>
  <si>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</si>
  <si>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</si>
  <si>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</si>
  <si>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</si>
  <si>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</si>
  <si>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</si>
  <si>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</si>
  <si>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</si>
  <si>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</si>
  <si>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</si>
  <si>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</si>
  <si>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</si>
  <si>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</si>
  <si>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</si>
  <si>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</si>
  <si>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</si>
  <si>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</si>
  <si>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</si>
  <si>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</si>
  <si>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</si>
  <si>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</si>
  <si>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</si>
  <si>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</si>
  <si>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</si>
  <si>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VOO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</si>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</sst>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_(&quot;$&quot;* #,##0.00_);_(&quot;$&quot;* (#,##0.00);_(&quot;$&quot;* &quot;-&quot;??_);_(@_)"/>
    <numFmt numFmtId="166" formatCode="&quot;$&quot;#,##0"/>
    <numFmt numFmtId="167" formatCode="$#,##0.00"/>
    <numFmt numFmtId="168" formatCode="($#,##0.00);($#,##0.00)"/>
    <numFmt numFmtId="169" formatCode="&quot;$&quot;#,##0.00_);[Red](&quot;$&quot;#,##0.00)"/>
    <numFmt numFmtId="170" formatCode="m/d/yy;@"/>
  </numFmts>
  <fonts count="16" x14ac:knownFonts="1">
    <font>
      <color theme="1"/>
      <family val="2"/>
      <scheme val="minor"/>
      <sz val="11"/>
      <name val="Calibri"/>
    </font>
    <font>
      <color theme="1"/>
      <family val="2"/>
      <sz val="13"/>
      <name val="Helvetica"/>
    </font>
    <font>
      <color theme="1"/>
      <family val="2"/>
      <scheme val="minor"/>
      <sz val="12"/>
      <name val="Calibri"/>
    </font>
    <font>
      <b/>
      <color rgb="FF000000"/>
      <family val="2"/>
      <sz val="10"/>
      <name val="Helvetica Neue"/>
    </font>
    <font>
      <color rgb="FF000000"/>
      <family val="2"/>
      <sz val="10"/>
      <name val="Helvetica Neue"/>
    </font>
    <font>
      <color theme="3" tint="0.249946592608417"/>
      <family val="2"/>
      <scheme val="minor"/>
      <sz val="10"/>
      <name val="Calibri"/>
    </font>
    <font>
      <i/>
      <color theme="3" tint="0.249946592608417"/>
      <family val="1"/>
      <scheme val="minor"/>
      <sz val="10"/>
      <name val="Calibri"/>
    </font>
    <font>
      <color theme="3" tint="0.249946592608417"/>
      <family val="1"/>
      <scheme val="minor"/>
      <sz val="10"/>
      <name val="Calibri"/>
    </font>
    <font>
      <b/>
      <i/>
      <color theme="3" tint="0.249946592608417"/>
      <family val="1"/>
      <scheme val="minor"/>
      <sz val="10"/>
      <name val="Calibri"/>
    </font>
    <font>
      <b/>
      <color theme="3" tint="0.249946592608417"/>
      <family val="1"/>
      <scheme val="minor"/>
      <sz val="10"/>
      <name val="Calibri"/>
    </font>
    <font>
      <color rgb="FF60605E"/>
      <family val="2"/>
      <sz val="10"/>
      <name val="Century Gothic"/>
    </font>
    <font>
      <b/>
      <color rgb="FF60605E"/>
      <family val="1"/>
      <sz val="10"/>
      <name val="Century Gothic"/>
    </font>
    <font>
      <color rgb="FF60605E"/>
      <family val="1"/>
      <sz val="10"/>
      <name val="Century Gothic"/>
    </font>
    <font>
      <b/>
      <color rgb="FF000000"/>
      <family val="2"/>
      <sz val="10"/>
      <name val="Arial"/>
    </font>
    <font>
      <color rgb="FF000000"/>
      <family val="2"/>
      <sz val="14"/>
      <name val="Arial"/>
    </font>
    <font>
      <color rgb="FF000000"/>
      <family val="2"/>
      <sz val="10"/>
      <name val="Arial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"/>
      </bottom>
      <diagonal/>
    </border>
    <border>
      <left style="thin">
        <color theme="6" tint="0.3999755851924192"/>
      </left>
      <right/>
      <top/>
      <bottom style="thin">
        <color theme="6" tint="0.3999755851924192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165" fontId="2" fillId="0" borderId="0" xfId="0" applyNumberFormat="1" applyFont="1"/>
    <xf numFmtId="166" fontId="2" fillId="0" borderId="0" xfId="0" applyNumberFormat="1" applyFont="1"/>
    <xf numFmtId="167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3" xfId="0" applyNumberFormat="1" applyFont="1" applyBorder="1"/>
    <xf numFmtId="169" fontId="0" fillId="0" borderId="0" xfId="0" applyNumberFormat="1"/>
    <xf numFmtId="170" fontId="4" fillId="0" borderId="0" xfId="0" applyNumberFormat="1" applyFont="1"/>
    <xf numFmtId="169" fontId="4" fillId="0" borderId="0" xfId="0" applyNumberFormat="1" applyFont="1"/>
    <xf numFmtId="14" fontId="4" fillId="0" borderId="0" xfId="0" applyNumberFormat="1" applyFont="1"/>
    <xf numFmtId="14" fontId="4" fillId="0" borderId="3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0" applyNumberFormat="1" applyFont="1"/>
    <xf numFmtId="0" fontId="0" fillId="0" borderId="0" xfId="0" applyAlignment="1">
      <alignment wrapText="1"/>
    </xf>
    <xf numFmtId="0" fontId="13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wrapText="1"/>
    </xf>
    <xf numFmtId="169" fontId="15" fillId="0" borderId="0" xfId="0" applyNumberFormat="1" applyFont="1"/>
    <xf numFmtId="165" fontId="15" fillId="0" borderId="0" xfId="0" applyNumberFormat="1" applyFont="1"/>
    <xf numFmtId="14" fontId="15" fillId="0" borderId="0" xfId="0" applyNumberFormat="1" applyFont="1" applyAlignment="1">
      <alignment wrapText="1"/>
    </xf>
    <xf numFmtId="0" fontId="0" fillId="0" borderId="0" xfId="0" applyAlignment="1">
      <alignment horizontal="left" wrapText="1"/>
    </xf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9.xml"/><Relationship Id="rId8" Type="http://schemas.openxmlformats.org/officeDocument/2006/relationships/worksheet" Target="worksheets/sheet1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2.xml"/><Relationship Id="rId12" Type="http://schemas.openxmlformats.org/officeDocument/2006/relationships/worksheet" Target="worksheets/sheet5.xml"/><Relationship Id="rId13" Type="http://schemas.openxmlformats.org/officeDocument/2006/relationships/worksheet" Target="worksheets/sheet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3" displayName="Table3" ref="B2:C18" totalsRowShown="1" headerRowCount="0">
  <autoFilter>
    <filterColumn colId="0" hiddenButton="1"/>
    <filterColumn colId="1" hiddenButton="1"/>
  </autoFilter>
  <tableColumns count="2">
    <tableColumn id="1" name="Account Type"/>
    <tableColumn id="2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25" displayName="Table25" ref="B2:D5" totalsRowShown="1" headerRowCount="0">
  <autoFilter>
    <filterColumn colId="0" hiddenButton="1"/>
    <filterColumn colId="1" hiddenButton="1"/>
    <filterColumn colId="2" hiddenButton="1"/>
  </autoFilter>
  <tableColumns count="3">
    <tableColumn id="1" name="Account"/>
    <tableColumn id="2" name="Account Type2"/>
    <tableColumn id="3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4" displayName="Table4" ref="B2:N41" totalsRowShown="1" headerRowCount="0">
  <autoFilter ref="B2:N41">
    <filterColumn colId="0" hiddenButton="1"/>
    <filterColumn colId="1" hiddenButton="1"/>
  </autoFilter>
  <tableColumns count="2">
    <tableColumn id="1" name="Account"/>
    <tableColumn id="2" name="Account Typ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able36" displayName="Table36" ref="B2:C123" totalsRowShown="1" headerRowCount="0">
  <autoFilter>
    <filterColumn colId="0" hiddenButton="1"/>
    <filterColumn colId="1" hiddenButton="1"/>
  </autoFilter>
  <tableColumns count="2">
    <tableColumn id="1" name="Symbol"/>
    <tableColumn id="2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7"/>
  <sheetViews>
    <sheetView workbookViewId="0" zoomScale="100" zoomScaleNormal="100">
      <selection activeCell="K21" sqref="K21"/>
    </sheetView>
  </sheetViews>
  <sheetFormatPr defaultRowHeight="15" outlineLevelRow="0" outlineLevelCol="0" x14ac:dyDescent="0.2" defaultColWidth="8.83203125"/>
  <cols>
    <col min="1" max="1" width="4" customWidth="1"/>
    <col min="2" max="2" width="22" customWidth="1"/>
    <col min="3" max="3" width="18" customWidth="1"/>
  </cols>
  <sheetData>
    <row r="2" spans="2:3" x14ac:dyDescent="0.25">
      <c r="B2" t="s">
        <v>61</v>
      </c>
      <c r="C2" t="s">
        <v>62</v>
      </c>
    </row>
    <row r="3" spans="2:3" x14ac:dyDescent="0.25">
      <c r="B3" t="s">
        <v>63</v>
      </c>
      <c r="C3" s="20">
        <v>400000</v>
      </c>
    </row>
    <row r="4" spans="2:3" x14ac:dyDescent="0.25">
      <c r="B4" t="s">
        <v>64</v>
      </c>
      <c r="C4" s="21">
        <v>45139</v>
      </c>
    </row>
    <row r="5" spans="2:3" x14ac:dyDescent="0.25">
      <c r="B5" t="s">
        <v>65</v>
      </c>
      <c r="C5">
        <v>30</v>
      </c>
    </row>
    <row r="6" spans="2:3" x14ac:dyDescent="0.25">
      <c r="B6" t="s">
        <v>66</v>
      </c>
      <c r="C6" s="17">
        <v>0.06</v>
      </c>
    </row>
    <row r="7" spans="2:3" x14ac:dyDescent="0.25">
      <c r="B7" t="s">
        <v>67</v>
      </c>
      <c r="C7" s="22">
        <f>PMT(C6/12,C5*12,C3)</f>
        <v>-2398.2021006110094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M21"/>
  <sheetViews>
    <sheetView workbookViewId="0" zoomScale="125" zoomScaleNormal="100">
      <pane xSplit="1" ySplit="2" topLeftCell="I3" activePane="bottomRight" state="frozen"/>
      <selection pane="bottomRight" activeCell="M4" sqref="M4"/>
    </sheetView>
  </sheetViews>
  <sheetFormatPr defaultRowHeight="14" outlineLevelRow="0" outlineLevelCol="0" x14ac:dyDescent="0.2" defaultColWidth="10.83203125" customHeight="1"/>
  <cols>
    <col min="1" max="1" width="10.83203125" style="8" customWidth="1"/>
    <col min="2" max="2" width="19.6640625" style="8" customWidth="1"/>
    <col min="3" max="18" width="11.5" style="8" customWidth="1"/>
    <col min="19" max="16384" width="10.83203125" style="8" customWidth="1"/>
  </cols>
  <sheetData>
    <row r="1" spans="1:1" x14ac:dyDescent="0.25">
      <c r="A1" s="9" t="s">
        <v>28</v>
      </c>
    </row>
    <row r="2" spans="3:39" x14ac:dyDescent="0.25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2:18" x14ac:dyDescent="0.25">
      <c r="B3" s="8" t="s">
        <v>29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2:18" x14ac:dyDescent="0.25">
      <c r="B4" s="8" t="s">
        <v>30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</v>
      </c>
      <c r="J4" s="11">
        <f t="shared" si="1"/>
        <v>53606.767605350506</v>
      </c>
      <c r="K4" s="11">
        <f t="shared" si="1"/>
        <v>54142.83528140401</v>
      </c>
      <c r="L4" s="11">
        <f t="shared" si="1"/>
        <v>54684.263634218056</v>
      </c>
      <c r="M4" s="11">
        <f t="shared" si="1"/>
        <v>55231.10627056024</v>
      </c>
      <c r="N4" s="11">
        <f t="shared" si="1"/>
        <v>55783.41733326584</v>
      </c>
      <c r="O4" s="11">
        <f t="shared" si="1"/>
        <v>56341.2515065985</v>
      </c>
      <c r="P4" s="11">
        <f t="shared" si="1"/>
        <v>56904.66402166448</v>
      </c>
      <c r="Q4" s="11">
        <f t="shared" si="1"/>
        <v>57473.71066188112</v>
      </c>
      <c r="R4" s="11">
        <f t="shared" si="1"/>
        <v>58048.44776849994</v>
      </c>
    </row>
    <row r="5" spans="2:18" x14ac:dyDescent="0.25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112550.881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2:18" x14ac:dyDescent="0.25">
      <c r="B6" s="8" t="s">
        <v>31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2:18" x14ac:dyDescent="0.25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</v>
      </c>
      <c r="I7" s="11">
        <f t="shared" si="4"/>
        <v>265380.03765025</v>
      </c>
      <c r="J7" s="11">
        <f t="shared" si="4"/>
        <v>268033.8380267525</v>
      </c>
      <c r="K7" s="11">
        <f t="shared" si="4"/>
        <v>270714.1764070201</v>
      </c>
      <c r="L7" s="11">
        <f t="shared" si="4"/>
        <v>273421.3181710903</v>
      </c>
      <c r="M7" s="11">
        <f t="shared" si="4"/>
        <v>276155.5313528012</v>
      </c>
      <c r="N7" s="11">
        <f t="shared" si="4"/>
        <v>278917.0866663292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287368.5533094056</v>
      </c>
      <c r="R7" s="11">
        <f t="shared" si="4"/>
        <v>290242.2388424996</v>
      </c>
    </row>
    <row r="8" spans="2:18" x14ac:dyDescent="0.25">
      <c r="B8" s="8" t="s">
        <v>32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2:18" x14ac:dyDescent="0.25">
      <c r="B9" s="8" t="s">
        <v>33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hidden="1" spans="2:18" x14ac:dyDescent="0.25">
      <c r="B10" s="13" t="s">
        <v>34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hidden="1" spans="2:18" x14ac:dyDescent="0.25">
      <c r="B11" s="13" t="s">
        <v>35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hidden="1" spans="2:18" x14ac:dyDescent="0.25">
      <c r="B12" s="13" t="s">
        <v>36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hidden="1" spans="2:18" x14ac:dyDescent="0.25">
      <c r="B13" s="13" t="s">
        <v>37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hidden="1" spans="2:18" x14ac:dyDescent="0.25">
      <c r="B14" s="13" t="s">
        <v>38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31706.25753299246</v>
      </c>
      <c r="P14" s="14">
        <f t="shared" si="6"/>
        <v>32023.32010832237</v>
      </c>
      <c r="Q14" s="14"/>
      <c r="R14" s="14"/>
    </row>
    <row r="15" hidden="1" spans="2:18" x14ac:dyDescent="0.25">
      <c r="B15" s="13" t="s">
        <v>39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2:18" x14ac:dyDescent="0.25">
      <c r="B16" s="15" t="s">
        <v>40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</v>
      </c>
      <c r="H16" s="16">
        <f t="shared" si="9"/>
        <v>653730.42246</v>
      </c>
      <c r="I16" s="16">
        <f t="shared" si="9"/>
        <v>662861.2748332</v>
      </c>
      <c r="J16" s="16">
        <f t="shared" si="9"/>
        <v>672127.99217459</v>
      </c>
      <c r="K16" s="16">
        <f t="shared" si="9"/>
        <v>681534.0198271857</v>
      </c>
      <c r="L16" s="16">
        <f t="shared" si="9"/>
        <v>691082.9001882328</v>
      </c>
      <c r="M16" s="16">
        <f t="shared" si="9"/>
        <v>725778.2755577737</v>
      </c>
      <c r="N16" s="16">
        <f t="shared" si="9"/>
        <v>735623.8910720396</v>
      </c>
      <c r="O16" s="16">
        <f t="shared" si="9"/>
        <v>745623.5977242088</v>
      </c>
      <c r="P16" s="16">
        <f t="shared" si="9"/>
        <v>755781.3554751433</v>
      </c>
      <c r="Q16" s="16">
        <f t="shared" si="9"/>
        <v>766101.2364567979</v>
      </c>
      <c r="R16" s="16">
        <f t="shared" si="9"/>
        <v>776587.4282710761</v>
      </c>
    </row>
    <row r="17" hidden="1" spans="2:18" x14ac:dyDescent="0.25">
      <c r="B17" s="15" t="s">
        <v>41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ht="15" customHeight="1" spans="2:18" x14ac:dyDescent="0.25">
      <c r="B18" s="15" t="s">
        <v>42</v>
      </c>
      <c r="C18" s="17"/>
      <c r="D18" s="17">
        <f t="shared" ref="D18:R18" si="11">(D16-C16)/D16</f>
        <v>0.0137429264349232</v>
      </c>
      <c r="E18" s="17">
        <f t="shared" si="11"/>
        <v>0.013745375685674193</v>
      </c>
      <c r="F18" s="17">
        <f t="shared" si="11"/>
        <v>0.013749817177599577</v>
      </c>
      <c r="G18" s="17">
        <f t="shared" si="11"/>
        <v>0.013756231805582102</v>
      </c>
      <c r="H18" s="17">
        <f t="shared" si="11"/>
        <v>0.013764601050902726</v>
      </c>
      <c r="I18" s="17">
        <f t="shared" si="11"/>
        <v>0.013774906937349231</v>
      </c>
      <c r="J18" s="17">
        <f t="shared" si="11"/>
        <v>0.013787131988668726</v>
      </c>
      <c r="K18" s="17">
        <f t="shared" si="11"/>
        <v>0.013801259187297375</v>
      </c>
      <c r="L18" s="17">
        <f t="shared" si="11"/>
        <v>0.013817271934302301</v>
      </c>
      <c r="M18" s="17">
        <f t="shared" si="11"/>
        <v>0.04780437295794898</v>
      </c>
      <c r="N18" s="17">
        <f t="shared" si="11"/>
        <v>0.01338403446891555</v>
      </c>
      <c r="O18" s="17">
        <f t="shared" si="11"/>
        <v>0.013411199273588338</v>
      </c>
      <c r="P18" s="17">
        <f t="shared" si="11"/>
        <v>0.013440074536568177</v>
      </c>
      <c r="Q18" s="17">
        <f t="shared" si="11"/>
        <v>0.013470649165616622</v>
      </c>
      <c r="R18" s="17">
        <f t="shared" si="11"/>
        <v>0.013502912141680742</v>
      </c>
    </row>
    <row r="19" ht="15" customHeight="1" spans="2:18" x14ac:dyDescent="0.25">
      <c r="B19" s="15" t="s">
        <v>43</v>
      </c>
      <c r="C19" s="17">
        <f t="shared" ref="C19:R19" si="12">-C3/SUM(C4:C9)</f>
        <v>0.32085561497326204</v>
      </c>
      <c r="D19" s="17">
        <f t="shared" si="12"/>
        <v>0.3161530286928799</v>
      </c>
      <c r="E19" s="17">
        <f t="shared" si="12"/>
        <v>0.3114705633921784</v>
      </c>
      <c r="F19" s="17">
        <f t="shared" si="12"/>
        <v>0.3068086342767655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0.2883747731349562</v>
      </c>
      <c r="K19" s="17">
        <f t="shared" si="12"/>
        <v>0.2838219406250668</v>
      </c>
      <c r="L19" s="17">
        <f t="shared" si="12"/>
        <v>0.2792922462206506</v>
      </c>
      <c r="M19" s="17">
        <f t="shared" si="12"/>
        <v>0.2498055824210063</v>
      </c>
      <c r="N19" s="17">
        <f t="shared" si="12"/>
        <v>0.24550553973758954</v>
      </c>
      <c r="O19" s="17">
        <f t="shared" si="12"/>
        <v>0.2412311022991112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ht="15" customHeight="1" spans="2:18" x14ac:dyDescent="0.25">
      <c r="B20" s="15" t="s">
        <v>44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0.4807710434536714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0.4358720769046638</v>
      </c>
      <c r="K20" s="17">
        <f t="shared" si="13"/>
        <v>0.4274085414307868</v>
      </c>
      <c r="L20" s="17">
        <f t="shared" si="13"/>
        <v>0.41910934645154824</v>
      </c>
      <c r="M20" s="17">
        <f t="shared" si="13"/>
        <v>0.4109713008893823</v>
      </c>
      <c r="N20" s="17">
        <f t="shared" si="13"/>
        <v>0.40299127562939424</v>
      </c>
      <c r="O20" s="17">
        <f t="shared" si="13"/>
        <v>0.3951662023162021</v>
      </c>
      <c r="P20" s="17">
        <f t="shared" si="13"/>
        <v>0.3874930721741399</v>
      </c>
      <c r="Q20" s="17">
        <f t="shared" si="13"/>
        <v>0.3799689348503702</v>
      </c>
      <c r="R20" s="17">
        <f t="shared" si="13"/>
        <v>0.3725908972804601</v>
      </c>
    </row>
    <row r="21" spans="2:2" x14ac:dyDescent="0.25">
      <c r="B21" s="15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D18"/>
  <sheetViews>
    <sheetView workbookViewId="0" zoomScale="100" zoomScaleNormal="100">
      <selection activeCell="B4" sqref="B4"/>
    </sheetView>
  </sheetViews>
  <sheetFormatPr defaultRowHeight="16" outlineLevelRow="0" outlineLevelCol="0" x14ac:dyDescent="0.2" defaultColWidth="10.83203125" customHeight="1"/>
  <cols>
    <col min="1" max="1" width="10.83203125" style="2" customWidth="1"/>
    <col min="2" max="3" width="14.6640625" style="2" customWidth="1"/>
    <col min="4" max="16384" width="10.83203125" style="2" customWidth="1"/>
  </cols>
  <sheetData>
    <row r="2" ht="16" customHeight="1" spans="2:4" x14ac:dyDescent="0.25">
      <c r="B2" s="3" t="s">
        <v>19</v>
      </c>
      <c r="C2" s="3" t="s">
        <v>20</v>
      </c>
      <c r="D2" s="4" t="s">
        <v>21</v>
      </c>
    </row>
    <row r="3" ht="16" customHeight="1" spans="2:4" x14ac:dyDescent="0.25">
      <c r="B3" s="5" t="s">
        <v>22</v>
      </c>
      <c r="C3" s="6" t="s">
        <v>2</v>
      </c>
      <c r="D3" s="2" t="s">
        <v>23</v>
      </c>
    </row>
    <row r="4" ht="16" customHeight="1" spans="2:4" x14ac:dyDescent="0.25">
      <c r="B4" s="5" t="s">
        <v>24</v>
      </c>
      <c r="C4" s="6" t="s">
        <v>7</v>
      </c>
      <c r="D4" s="2" t="s">
        <v>25</v>
      </c>
    </row>
    <row r="5" ht="16" customHeight="1" spans="2:4" x14ac:dyDescent="0.25">
      <c r="B5" s="5" t="s">
        <v>26</v>
      </c>
      <c r="C5" s="6" t="s">
        <v>15</v>
      </c>
      <c r="D5" s="2" t="s">
        <v>27</v>
      </c>
    </row>
    <row r="6" ht="16" customHeight="1" spans="2:3" x14ac:dyDescent="0.25">
      <c r="B6" s="5"/>
      <c r="C6" s="6"/>
    </row>
    <row r="7" ht="16" customHeight="1" spans="2:3" x14ac:dyDescent="0.25">
      <c r="B7" s="5"/>
      <c r="C7" s="6"/>
    </row>
    <row r="8" ht="16" customHeight="1" spans="2:3" x14ac:dyDescent="0.25">
      <c r="B8" s="5"/>
      <c r="C8" s="6"/>
    </row>
    <row r="9" ht="16" customHeight="1" spans="2:3" x14ac:dyDescent="0.25">
      <c r="B9" s="5"/>
      <c r="C9" s="6"/>
    </row>
    <row r="10" ht="16" customHeight="1" spans="2:3" x14ac:dyDescent="0.25">
      <c r="B10" s="5"/>
      <c r="C10" s="6"/>
    </row>
    <row r="11" ht="16" customHeight="1" spans="2:3" x14ac:dyDescent="0.25">
      <c r="B11" s="5"/>
      <c r="C11" s="6"/>
    </row>
    <row r="12" ht="16" customHeight="1" spans="2:3" x14ac:dyDescent="0.25">
      <c r="B12" s="5"/>
      <c r="C12" s="6"/>
    </row>
    <row r="13" ht="16" customHeight="1" spans="2:3" x14ac:dyDescent="0.25">
      <c r="B13" s="5"/>
      <c r="C13" s="6"/>
    </row>
    <row r="14" ht="16" customHeight="1" spans="2:3" x14ac:dyDescent="0.25">
      <c r="B14" s="5"/>
      <c r="C14" s="6"/>
    </row>
    <row r="15" ht="16" customHeight="1" spans="2:3" x14ac:dyDescent="0.25">
      <c r="B15" s="7"/>
      <c r="C15" s="6"/>
    </row>
    <row r="16" ht="16" customHeight="1" spans="2:3" x14ac:dyDescent="0.25">
      <c r="B16" s="7"/>
      <c r="C16" s="6"/>
    </row>
    <row r="17" ht="16" customHeight="1" spans="2:3" x14ac:dyDescent="0.25">
      <c r="B17" s="7"/>
      <c r="C17" s="6"/>
    </row>
    <row r="18" ht="16" customHeight="1" spans="2:3" x14ac:dyDescent="0.25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23"/>
  <sheetViews>
    <sheetView workbookViewId="0" zoomScale="100" zoomScaleNormal="100">
      <selection activeCell="C25" sqref="C25"/>
    </sheetView>
  </sheetViews>
  <sheetFormatPr defaultRowHeight="16" outlineLevelRow="0" outlineLevelCol="0" x14ac:dyDescent="0.2" defaultColWidth="10.83203125" customHeight="1"/>
  <cols>
    <col min="1" max="2" width="10.83203125" style="2" customWidth="1"/>
    <col min="3" max="3" width="80.83203125" style="2" customWidth="1"/>
    <col min="4" max="16384" width="10.83203125" style="2" customWidth="1"/>
  </cols>
  <sheetData>
    <row r="2" ht="29" customHeight="1" spans="2:3" x14ac:dyDescent="0.25">
      <c r="B2" s="55" t="s">
        <v>82</v>
      </c>
      <c r="C2" s="55" t="s">
        <v>83</v>
      </c>
    </row>
    <row r="3" spans="2:3" x14ac:dyDescent="0.25">
      <c r="B3" s="56" t="s">
        <v>92</v>
      </c>
      <c r="C3" s="56" t="s">
        <v>125</v>
      </c>
    </row>
    <row r="4" spans="2:3" x14ac:dyDescent="0.25">
      <c r="B4" s="56" t="s">
        <v>126</v>
      </c>
      <c r="C4" s="56" t="s">
        <v>127</v>
      </c>
    </row>
    <row r="5" spans="2:3" x14ac:dyDescent="0.25">
      <c r="B5" s="56" t="s">
        <v>96</v>
      </c>
      <c r="C5" s="56" t="s">
        <v>128</v>
      </c>
    </row>
    <row r="6" spans="2:3" x14ac:dyDescent="0.25">
      <c r="B6" s="56" t="s">
        <v>129</v>
      </c>
      <c r="C6" s="6" t="s">
        <v>130</v>
      </c>
    </row>
    <row r="7" spans="2:3" x14ac:dyDescent="0.25">
      <c r="B7" s="56" t="s">
        <v>131</v>
      </c>
      <c r="C7" s="56" t="s">
        <v>132</v>
      </c>
    </row>
    <row r="8" spans="2:3" x14ac:dyDescent="0.25">
      <c r="B8" s="56" t="s">
        <v>133</v>
      </c>
      <c r="C8" s="56" t="s">
        <v>134</v>
      </c>
    </row>
    <row r="9" spans="2:3" x14ac:dyDescent="0.25">
      <c r="B9" s="56" t="s">
        <v>135</v>
      </c>
      <c r="C9" s="56" t="s">
        <v>136</v>
      </c>
    </row>
    <row r="10" spans="2:3" x14ac:dyDescent="0.25">
      <c r="B10" s="56" t="s">
        <v>97</v>
      </c>
      <c r="C10" s="57" t="s">
        <v>137</v>
      </c>
    </row>
    <row r="11" spans="2:3" x14ac:dyDescent="0.25">
      <c r="B11" s="56" t="s">
        <v>138</v>
      </c>
      <c r="C11" s="56" t="s">
        <v>139</v>
      </c>
    </row>
    <row r="12" spans="2:3" x14ac:dyDescent="0.25">
      <c r="B12" s="56" t="s">
        <v>140</v>
      </c>
      <c r="C12" s="56" t="s">
        <v>141</v>
      </c>
    </row>
    <row r="13" spans="2:3" x14ac:dyDescent="0.25">
      <c r="B13" s="56" t="s">
        <v>142</v>
      </c>
      <c r="C13" s="56" t="s">
        <v>143</v>
      </c>
    </row>
    <row r="14" spans="2:3" x14ac:dyDescent="0.25">
      <c r="B14" s="56" t="s">
        <v>144</v>
      </c>
      <c r="C14" s="56" t="s">
        <v>145</v>
      </c>
    </row>
    <row r="15" spans="2:3" x14ac:dyDescent="0.25">
      <c r="B15" s="56" t="s">
        <v>146</v>
      </c>
      <c r="C15" s="56" t="s">
        <v>147</v>
      </c>
    </row>
    <row r="16" spans="2:3" x14ac:dyDescent="0.25">
      <c r="B16" s="56" t="s">
        <v>148</v>
      </c>
      <c r="C16" s="56" t="s">
        <v>149</v>
      </c>
    </row>
    <row r="17" spans="2:3" x14ac:dyDescent="0.25">
      <c r="B17" s="56" t="s">
        <v>150</v>
      </c>
      <c r="C17" s="56" t="s">
        <v>151</v>
      </c>
    </row>
    <row r="18" spans="2:3" x14ac:dyDescent="0.25">
      <c r="B18" s="56" t="s">
        <v>150</v>
      </c>
      <c r="C18" s="56" t="s">
        <v>152</v>
      </c>
    </row>
    <row r="19" spans="2:3" x14ac:dyDescent="0.25">
      <c r="B19" s="56" t="s">
        <v>153</v>
      </c>
      <c r="C19" s="56" t="s">
        <v>154</v>
      </c>
    </row>
    <row r="20" spans="2:3" x14ac:dyDescent="0.25">
      <c r="B20" s="56" t="s">
        <v>155</v>
      </c>
      <c r="C20" s="56" t="s">
        <v>156</v>
      </c>
    </row>
    <row r="21" spans="2:3" x14ac:dyDescent="0.25">
      <c r="B21" s="56" t="s">
        <v>157</v>
      </c>
      <c r="C21" s="56" t="s">
        <v>158</v>
      </c>
    </row>
    <row r="22" spans="2:3" x14ac:dyDescent="0.25">
      <c r="B22" s="56" t="s">
        <v>159</v>
      </c>
      <c r="C22" s="56" t="s">
        <v>160</v>
      </c>
    </row>
    <row r="23" spans="2:3" x14ac:dyDescent="0.25">
      <c r="B23" s="56" t="s">
        <v>161</v>
      </c>
      <c r="C23" s="56" t="s">
        <v>162</v>
      </c>
    </row>
    <row r="24" spans="2:3" x14ac:dyDescent="0.25">
      <c r="B24" s="56" t="s">
        <v>163</v>
      </c>
      <c r="C24" s="56" t="s">
        <v>164</v>
      </c>
    </row>
    <row r="25" spans="2:3" x14ac:dyDescent="0.25">
      <c r="B25" s="56" t="s">
        <v>165</v>
      </c>
      <c r="C25" s="56" t="s">
        <v>166</v>
      </c>
    </row>
    <row r="26" spans="2:3" x14ac:dyDescent="0.25">
      <c r="B26" s="56" t="s">
        <v>167</v>
      </c>
      <c r="C26" s="56" t="s">
        <v>168</v>
      </c>
    </row>
    <row r="27" spans="2:3" x14ac:dyDescent="0.25">
      <c r="B27" s="56" t="s">
        <v>169</v>
      </c>
      <c r="C27" s="56" t="s">
        <v>170</v>
      </c>
    </row>
    <row r="28" spans="2:3" x14ac:dyDescent="0.25">
      <c r="B28" s="56" t="s">
        <v>171</v>
      </c>
      <c r="C28" s="56" t="s">
        <v>172</v>
      </c>
    </row>
    <row r="29" spans="2:3" x14ac:dyDescent="0.25">
      <c r="B29" s="56" t="s">
        <v>173</v>
      </c>
      <c r="C29" s="56" t="s">
        <v>174</v>
      </c>
    </row>
    <row r="30" spans="2:3" x14ac:dyDescent="0.25">
      <c r="B30" s="56" t="s">
        <v>175</v>
      </c>
      <c r="C30" s="56" t="s">
        <v>176</v>
      </c>
    </row>
    <row r="31" spans="2:3" x14ac:dyDescent="0.25">
      <c r="B31" s="56" t="s">
        <v>177</v>
      </c>
      <c r="C31" s="56" t="s">
        <v>178</v>
      </c>
    </row>
    <row r="32" spans="2:3" x14ac:dyDescent="0.25">
      <c r="B32" s="56" t="s">
        <v>179</v>
      </c>
      <c r="C32" s="56" t="s">
        <v>180</v>
      </c>
    </row>
    <row r="33" spans="2:3" x14ac:dyDescent="0.25">
      <c r="B33" s="56" t="s">
        <v>181</v>
      </c>
      <c r="C33" s="56" t="s">
        <v>182</v>
      </c>
    </row>
    <row r="34" spans="2:3" x14ac:dyDescent="0.25">
      <c r="B34" s="56" t="s">
        <v>183</v>
      </c>
      <c r="C34" s="56" t="s">
        <v>184</v>
      </c>
    </row>
    <row r="35" spans="2:3" x14ac:dyDescent="0.25">
      <c r="B35" s="56" t="s">
        <v>185</v>
      </c>
      <c r="C35" s="56" t="s">
        <v>186</v>
      </c>
    </row>
    <row r="36" spans="2:3" x14ac:dyDescent="0.25">
      <c r="B36" s="56" t="s">
        <v>187</v>
      </c>
      <c r="C36" s="56" t="s">
        <v>188</v>
      </c>
    </row>
    <row r="37" spans="2:3" x14ac:dyDescent="0.25">
      <c r="B37" s="56" t="s">
        <v>189</v>
      </c>
      <c r="C37" s="56" t="s">
        <v>190</v>
      </c>
    </row>
    <row r="38" spans="2:3" x14ac:dyDescent="0.25">
      <c r="B38" s="56" t="s">
        <v>191</v>
      </c>
      <c r="C38" s="56" t="s">
        <v>192</v>
      </c>
    </row>
    <row r="39" spans="2:3" x14ac:dyDescent="0.25">
      <c r="B39" s="56" t="s">
        <v>193</v>
      </c>
      <c r="C39" s="56" t="s">
        <v>194</v>
      </c>
    </row>
    <row r="40" spans="2:3" x14ac:dyDescent="0.25">
      <c r="B40" s="56" t="s">
        <v>195</v>
      </c>
      <c r="C40" s="56" t="s">
        <v>196</v>
      </c>
    </row>
    <row r="41" spans="2:3" x14ac:dyDescent="0.25">
      <c r="B41" s="56" t="s">
        <v>197</v>
      </c>
      <c r="C41" s="56" t="s">
        <v>198</v>
      </c>
    </row>
    <row r="42" spans="2:3" x14ac:dyDescent="0.25">
      <c r="B42" s="56" t="s">
        <v>199</v>
      </c>
      <c r="C42" s="56" t="s">
        <v>200</v>
      </c>
    </row>
    <row r="43" spans="2:3" x14ac:dyDescent="0.25">
      <c r="B43" s="56" t="s">
        <v>201</v>
      </c>
      <c r="C43" s="56" t="s">
        <v>202</v>
      </c>
    </row>
    <row r="44" spans="2:3" x14ac:dyDescent="0.25">
      <c r="B44" s="56" t="s">
        <v>203</v>
      </c>
      <c r="C44" s="56" t="s">
        <v>204</v>
      </c>
    </row>
    <row r="45" spans="2:3" x14ac:dyDescent="0.25">
      <c r="B45" s="56" t="s">
        <v>205</v>
      </c>
      <c r="C45" s="56" t="s">
        <v>206</v>
      </c>
    </row>
    <row r="46" spans="2:3" x14ac:dyDescent="0.25">
      <c r="B46" s="56" t="s">
        <v>207</v>
      </c>
      <c r="C46" s="56" t="s">
        <v>208</v>
      </c>
    </row>
    <row r="47" spans="2:3" x14ac:dyDescent="0.25">
      <c r="B47" s="56" t="s">
        <v>209</v>
      </c>
      <c r="C47" s="56" t="s">
        <v>210</v>
      </c>
    </row>
    <row r="48" spans="2:3" x14ac:dyDescent="0.25">
      <c r="B48" s="56" t="s">
        <v>211</v>
      </c>
      <c r="C48" s="56" t="s">
        <v>212</v>
      </c>
    </row>
    <row r="49" spans="2:3" x14ac:dyDescent="0.25">
      <c r="B49" s="56" t="s">
        <v>213</v>
      </c>
      <c r="C49" s="56" t="s">
        <v>214</v>
      </c>
    </row>
    <row r="50" spans="2:3" x14ac:dyDescent="0.25">
      <c r="B50" s="56" t="s">
        <v>215</v>
      </c>
      <c r="C50" s="56" t="s">
        <v>216</v>
      </c>
    </row>
    <row r="51" spans="2:3" x14ac:dyDescent="0.25">
      <c r="B51" s="56" t="s">
        <v>217</v>
      </c>
      <c r="C51" s="56" t="s">
        <v>218</v>
      </c>
    </row>
    <row r="52" spans="2:3" x14ac:dyDescent="0.25">
      <c r="B52" s="56" t="s">
        <v>217</v>
      </c>
      <c r="C52" s="56" t="s">
        <v>219</v>
      </c>
    </row>
    <row r="53" spans="2:3" x14ac:dyDescent="0.25">
      <c r="B53" s="56" t="s">
        <v>217</v>
      </c>
      <c r="C53" s="58" t="s">
        <v>219</v>
      </c>
    </row>
    <row r="54" spans="2:3" x14ac:dyDescent="0.25">
      <c r="B54" s="56" t="s">
        <v>220</v>
      </c>
      <c r="C54" s="56" t="s">
        <v>221</v>
      </c>
    </row>
    <row r="55" spans="2:3" x14ac:dyDescent="0.25">
      <c r="B55" s="56" t="s">
        <v>222</v>
      </c>
      <c r="C55" s="56" t="s">
        <v>223</v>
      </c>
    </row>
    <row r="56" spans="2:3" x14ac:dyDescent="0.25">
      <c r="B56" s="56" t="s">
        <v>224</v>
      </c>
      <c r="C56" s="56" t="s">
        <v>225</v>
      </c>
    </row>
    <row r="57" spans="2:3" x14ac:dyDescent="0.25">
      <c r="B57" s="56" t="s">
        <v>226</v>
      </c>
      <c r="C57" s="56" t="s">
        <v>227</v>
      </c>
    </row>
    <row r="58" spans="2:3" x14ac:dyDescent="0.25">
      <c r="B58" s="56" t="s">
        <v>228</v>
      </c>
      <c r="C58" s="56" t="s">
        <v>229</v>
      </c>
    </row>
    <row r="59" spans="2:3" x14ac:dyDescent="0.25">
      <c r="B59" s="56" t="s">
        <v>230</v>
      </c>
      <c r="C59" s="56" t="s">
        <v>231</v>
      </c>
    </row>
    <row r="60" spans="2:3" x14ac:dyDescent="0.25">
      <c r="B60" s="56" t="s">
        <v>232</v>
      </c>
      <c r="C60" s="56" t="s">
        <v>233</v>
      </c>
    </row>
    <row r="61" spans="2:3" x14ac:dyDescent="0.25">
      <c r="B61" s="56" t="s">
        <v>234</v>
      </c>
      <c r="C61" s="56" t="s">
        <v>235</v>
      </c>
    </row>
    <row r="62" spans="2:3" x14ac:dyDescent="0.25">
      <c r="B62" s="56" t="s">
        <v>236</v>
      </c>
      <c r="C62" s="56" t="s">
        <v>237</v>
      </c>
    </row>
    <row r="63" spans="2:3" x14ac:dyDescent="0.25">
      <c r="B63" s="56" t="s">
        <v>238</v>
      </c>
      <c r="C63" s="56" t="s">
        <v>239</v>
      </c>
    </row>
    <row r="64" spans="2:3" x14ac:dyDescent="0.25">
      <c r="B64" s="56" t="s">
        <v>240</v>
      </c>
      <c r="C64" s="56" t="s">
        <v>241</v>
      </c>
    </row>
    <row r="65" spans="2:3" x14ac:dyDescent="0.25">
      <c r="B65" s="56" t="s">
        <v>242</v>
      </c>
      <c r="C65" s="56" t="s">
        <v>243</v>
      </c>
    </row>
    <row r="66" spans="2:3" x14ac:dyDescent="0.25">
      <c r="B66" s="56" t="s">
        <v>244</v>
      </c>
      <c r="C66" s="56" t="s">
        <v>245</v>
      </c>
    </row>
    <row r="67" spans="2:3" x14ac:dyDescent="0.25">
      <c r="B67" s="56" t="s">
        <v>246</v>
      </c>
      <c r="C67" s="56" t="s">
        <v>247</v>
      </c>
    </row>
    <row r="68" spans="2:3" x14ac:dyDescent="0.25">
      <c r="B68" s="56" t="s">
        <v>248</v>
      </c>
      <c r="C68" s="56" t="s">
        <v>249</v>
      </c>
    </row>
    <row r="69" spans="2:3" x14ac:dyDescent="0.25">
      <c r="B69" s="56" t="s">
        <v>250</v>
      </c>
      <c r="C69" s="56" t="s">
        <v>251</v>
      </c>
    </row>
    <row r="70" spans="2:3" x14ac:dyDescent="0.25">
      <c r="B70" s="56" t="s">
        <v>252</v>
      </c>
      <c r="C70" s="56" t="s">
        <v>208</v>
      </c>
    </row>
    <row r="71" spans="2:3" x14ac:dyDescent="0.25">
      <c r="B71" s="56" t="s">
        <v>253</v>
      </c>
      <c r="C71" s="56" t="s">
        <v>254</v>
      </c>
    </row>
    <row r="72" spans="2:3" x14ac:dyDescent="0.25">
      <c r="B72" s="56" t="s">
        <v>255</v>
      </c>
      <c r="C72" s="56" t="s">
        <v>256</v>
      </c>
    </row>
    <row r="73" spans="2:3" x14ac:dyDescent="0.25">
      <c r="B73" s="56" t="s">
        <v>257</v>
      </c>
      <c r="C73" s="56" t="s">
        <v>258</v>
      </c>
    </row>
    <row r="74" spans="2:3" x14ac:dyDescent="0.25">
      <c r="B74" s="56" t="s">
        <v>259</v>
      </c>
      <c r="C74" s="56" t="s">
        <v>260</v>
      </c>
    </row>
    <row r="75" spans="2:3" x14ac:dyDescent="0.25">
      <c r="B75" s="56" t="s">
        <v>261</v>
      </c>
      <c r="C75" s="56" t="s">
        <v>262</v>
      </c>
    </row>
    <row r="76" spans="2:3" x14ac:dyDescent="0.25">
      <c r="B76" s="56" t="s">
        <v>263</v>
      </c>
      <c r="C76" s="56" t="s">
        <v>264</v>
      </c>
    </row>
    <row r="77" spans="2:3" x14ac:dyDescent="0.25">
      <c r="B77" s="56" t="s">
        <v>265</v>
      </c>
      <c r="C77" s="56" t="s">
        <v>266</v>
      </c>
    </row>
    <row r="78" spans="2:3" x14ac:dyDescent="0.25">
      <c r="B78" s="56" t="s">
        <v>267</v>
      </c>
      <c r="C78" s="56" t="s">
        <v>268</v>
      </c>
    </row>
    <row r="79" spans="2:3" x14ac:dyDescent="0.25">
      <c r="B79" s="56" t="s">
        <v>267</v>
      </c>
      <c r="C79" s="56" t="s">
        <v>269</v>
      </c>
    </row>
    <row r="80" spans="2:3" x14ac:dyDescent="0.25">
      <c r="B80" s="56" t="s">
        <v>270</v>
      </c>
      <c r="C80" s="56" t="s">
        <v>271</v>
      </c>
    </row>
    <row r="81" spans="2:3" x14ac:dyDescent="0.25">
      <c r="B81" s="56" t="s">
        <v>272</v>
      </c>
      <c r="C81" s="56" t="s">
        <v>273</v>
      </c>
    </row>
    <row r="82" spans="2:3" x14ac:dyDescent="0.25">
      <c r="B82" s="56" t="s">
        <v>274</v>
      </c>
      <c r="C82" s="56" t="s">
        <v>275</v>
      </c>
    </row>
    <row r="83" spans="2:3" x14ac:dyDescent="0.25">
      <c r="B83" s="56" t="s">
        <v>276</v>
      </c>
      <c r="C83" s="56" t="s">
        <v>277</v>
      </c>
    </row>
    <row r="84" spans="2:3" x14ac:dyDescent="0.25">
      <c r="B84" s="56" t="s">
        <v>278</v>
      </c>
      <c r="C84" s="56" t="s">
        <v>279</v>
      </c>
    </row>
    <row r="85" spans="2:3" x14ac:dyDescent="0.25">
      <c r="B85" s="56" t="s">
        <v>280</v>
      </c>
      <c r="C85" s="56" t="s">
        <v>281</v>
      </c>
    </row>
    <row r="86" spans="2:3" x14ac:dyDescent="0.25">
      <c r="B86" s="56" t="s">
        <v>282</v>
      </c>
      <c r="C86" s="56" t="s">
        <v>283</v>
      </c>
    </row>
    <row r="87" spans="2:3" x14ac:dyDescent="0.25">
      <c r="B87" s="56" t="s">
        <v>284</v>
      </c>
      <c r="C87" s="56" t="s">
        <v>285</v>
      </c>
    </row>
    <row r="88" spans="2:3" x14ac:dyDescent="0.25">
      <c r="B88" s="56" t="s">
        <v>286</v>
      </c>
      <c r="C88" s="56" t="s">
        <v>287</v>
      </c>
    </row>
    <row r="89" spans="2:3" x14ac:dyDescent="0.25">
      <c r="B89" s="56" t="s">
        <v>288</v>
      </c>
      <c r="C89" s="56" t="s">
        <v>289</v>
      </c>
    </row>
    <row r="90" spans="2:3" x14ac:dyDescent="0.25">
      <c r="B90" s="56" t="s">
        <v>290</v>
      </c>
      <c r="C90" s="56" t="s">
        <v>291</v>
      </c>
    </row>
    <row r="91" spans="2:3" x14ac:dyDescent="0.25">
      <c r="B91" s="56" t="s">
        <v>292</v>
      </c>
      <c r="C91" s="56" t="s">
        <v>293</v>
      </c>
    </row>
    <row r="92" spans="2:3" x14ac:dyDescent="0.25">
      <c r="B92" s="56" t="s">
        <v>294</v>
      </c>
      <c r="C92" s="56" t="s">
        <v>295</v>
      </c>
    </row>
    <row r="93" spans="2:3" x14ac:dyDescent="0.25">
      <c r="B93" s="56" t="s">
        <v>296</v>
      </c>
      <c r="C93" s="56" t="s">
        <v>297</v>
      </c>
    </row>
    <row r="94" spans="2:3" x14ac:dyDescent="0.25">
      <c r="B94" s="56" t="s">
        <v>298</v>
      </c>
      <c r="C94" s="56" t="s">
        <v>299</v>
      </c>
    </row>
    <row r="95" spans="2:3" x14ac:dyDescent="0.25">
      <c r="B95" s="56" t="s">
        <v>300</v>
      </c>
      <c r="C95" s="56" t="s">
        <v>301</v>
      </c>
    </row>
    <row r="96" spans="2:3" x14ac:dyDescent="0.25">
      <c r="B96" s="56" t="s">
        <v>302</v>
      </c>
      <c r="C96" s="56" t="s">
        <v>303</v>
      </c>
    </row>
    <row r="97" spans="2:3" x14ac:dyDescent="0.25">
      <c r="B97" s="56" t="s">
        <v>304</v>
      </c>
      <c r="C97" s="56" t="s">
        <v>305</v>
      </c>
    </row>
    <row r="98" spans="2:3" x14ac:dyDescent="0.25">
      <c r="B98" s="56" t="s">
        <v>306</v>
      </c>
      <c r="C98" s="56" t="s">
        <v>307</v>
      </c>
    </row>
    <row r="99" spans="2:3" x14ac:dyDescent="0.25">
      <c r="B99" s="56" t="s">
        <v>308</v>
      </c>
      <c r="C99" s="56" t="s">
        <v>309</v>
      </c>
    </row>
    <row r="100" spans="2:3" x14ac:dyDescent="0.25">
      <c r="B100" s="56" t="s">
        <v>310</v>
      </c>
      <c r="C100" s="56" t="s">
        <v>311</v>
      </c>
    </row>
    <row r="101" spans="2:3" x14ac:dyDescent="0.25">
      <c r="B101" s="56" t="s">
        <v>312</v>
      </c>
      <c r="C101" s="56" t="s">
        <v>313</v>
      </c>
    </row>
    <row r="102" spans="2:3" x14ac:dyDescent="0.25">
      <c r="B102" s="56" t="s">
        <v>314</v>
      </c>
      <c r="C102" s="56" t="s">
        <v>315</v>
      </c>
    </row>
    <row r="103" spans="2:3" x14ac:dyDescent="0.25">
      <c r="B103" s="56" t="s">
        <v>316</v>
      </c>
      <c r="C103" s="56" t="s">
        <v>317</v>
      </c>
    </row>
    <row r="104" spans="2:3" x14ac:dyDescent="0.25">
      <c r="B104" s="56" t="s">
        <v>318</v>
      </c>
      <c r="C104" s="56" t="s">
        <v>319</v>
      </c>
    </row>
    <row r="105" spans="2:3" x14ac:dyDescent="0.25">
      <c r="B105" s="56" t="s">
        <v>320</v>
      </c>
      <c r="C105" s="56" t="s">
        <v>321</v>
      </c>
    </row>
    <row r="106" spans="2:3" x14ac:dyDescent="0.25">
      <c r="B106" s="56" t="s">
        <v>322</v>
      </c>
      <c r="C106" s="56" t="s">
        <v>323</v>
      </c>
    </row>
    <row r="107" spans="2:3" x14ac:dyDescent="0.25">
      <c r="B107" s="56" t="s">
        <v>324</v>
      </c>
      <c r="C107" s="56" t="s">
        <v>325</v>
      </c>
    </row>
    <row r="108" spans="2:3" x14ac:dyDescent="0.25">
      <c r="B108" s="56" t="s">
        <v>326</v>
      </c>
      <c r="C108" s="56" t="s">
        <v>327</v>
      </c>
    </row>
    <row r="109" spans="2:3" x14ac:dyDescent="0.25">
      <c r="B109" s="56" t="s">
        <v>328</v>
      </c>
      <c r="C109" s="56" t="s">
        <v>329</v>
      </c>
    </row>
    <row r="110" spans="2:3" x14ac:dyDescent="0.25">
      <c r="B110" s="56" t="s">
        <v>330</v>
      </c>
      <c r="C110" s="56" t="s">
        <v>331</v>
      </c>
    </row>
    <row r="111" spans="2:3" x14ac:dyDescent="0.25">
      <c r="B111" s="56" t="s">
        <v>332</v>
      </c>
      <c r="C111" s="56" t="s">
        <v>333</v>
      </c>
    </row>
    <row r="112" spans="2:3" x14ac:dyDescent="0.25">
      <c r="B112" s="56" t="s">
        <v>334</v>
      </c>
      <c r="C112" s="56" t="s">
        <v>335</v>
      </c>
    </row>
    <row r="113" spans="2:3" x14ac:dyDescent="0.25">
      <c r="B113" s="56" t="s">
        <v>336</v>
      </c>
      <c r="C113" s="56" t="s">
        <v>337</v>
      </c>
    </row>
    <row r="114" spans="2:3" x14ac:dyDescent="0.25">
      <c r="B114" s="56" t="s">
        <v>338</v>
      </c>
      <c r="C114" s="56" t="s">
        <v>339</v>
      </c>
    </row>
    <row r="115" spans="2:3" x14ac:dyDescent="0.25">
      <c r="B115" s="56" t="s">
        <v>340</v>
      </c>
      <c r="C115" s="56" t="s">
        <v>341</v>
      </c>
    </row>
    <row r="116" spans="2:3" x14ac:dyDescent="0.25">
      <c r="B116" s="56" t="s">
        <v>342</v>
      </c>
      <c r="C116" s="56" t="s">
        <v>343</v>
      </c>
    </row>
    <row r="117" spans="2:3" x14ac:dyDescent="0.25">
      <c r="B117" s="56" t="s">
        <v>344</v>
      </c>
      <c r="C117" s="56" t="s">
        <v>345</v>
      </c>
    </row>
    <row r="118" spans="2:3" x14ac:dyDescent="0.25">
      <c r="B118" s="56" t="s">
        <v>346</v>
      </c>
      <c r="C118" s="56" t="s">
        <v>347</v>
      </c>
    </row>
    <row r="119" spans="2:3" x14ac:dyDescent="0.25">
      <c r="B119" s="56" t="s">
        <v>348</v>
      </c>
      <c r="C119" s="56" t="s">
        <v>349</v>
      </c>
    </row>
    <row r="120" spans="2:3" x14ac:dyDescent="0.25">
      <c r="B120" s="56" t="s">
        <v>350</v>
      </c>
      <c r="C120" s="56" t="s">
        <v>351</v>
      </c>
    </row>
    <row r="121" spans="2:3" x14ac:dyDescent="0.25">
      <c r="B121" s="56" t="s">
        <v>352</v>
      </c>
      <c r="C121" s="56" t="s">
        <v>353</v>
      </c>
    </row>
    <row r="122" spans="2:3" x14ac:dyDescent="0.25">
      <c r="B122" s="56" t="s">
        <v>354</v>
      </c>
      <c r="C122" s="56" t="s">
        <v>355</v>
      </c>
    </row>
    <row r="123" spans="2:3" x14ac:dyDescent="0.25">
      <c r="B123" s="59" t="s">
        <v>356</v>
      </c>
      <c r="C123" s="59" t="s">
        <v>357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1:EY8"/>
  <sheetViews>
    <sheetView workbookViewId="0" zoomScale="100" zoomScaleNormal="100">
      <selection activeCell="F4" sqref="F4"/>
    </sheetView>
  </sheetViews>
  <sheetFormatPr defaultRowHeight="15" outlineLevelRow="0" outlineLevelCol="0" x14ac:dyDescent="0.2" defaultColWidth="8.83203125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5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68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69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70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71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72</v>
      </c>
      <c r="EY1" s="23"/>
    </row>
    <row r="2" spans="2:155" x14ac:dyDescent="0.25">
      <c r="B2" s="24" t="s">
        <v>73</v>
      </c>
      <c r="C2" s="24" t="s">
        <v>74</v>
      </c>
      <c r="D2" s="24" t="s">
        <v>75</v>
      </c>
      <c r="E2" s="24" t="s">
        <v>76</v>
      </c>
      <c r="F2" s="24" t="s">
        <v>77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5">
      <c r="B3" s="23" t="s">
        <v>78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>G3+G3*(RAND()*(0.15--0.15)+-0.15)/12+$F3</f>
        <v>20392.41188005731</v>
      </c>
      <c r="I3" s="28">
        <f t="shared" ref="I3:AV3" si="0">H3+H3*(RAND()*(0.15--0.15)+-0.15)/12+$F3</f>
        <v>20797.4649176692</v>
      </c>
      <c r="J3" s="28">
        <f t="shared" si="0"/>
        <v>20953.925466696328</v>
      </c>
      <c r="K3" s="28">
        <f t="shared" si="0"/>
        <v>21482.013178841702</v>
      </c>
      <c r="L3" s="28">
        <f t="shared" si="0"/>
        <v>22042.73144929741</v>
      </c>
      <c r="M3" s="28">
        <f t="shared" si="0"/>
        <v>22195.417016399806</v>
      </c>
      <c r="N3" s="28">
        <f t="shared" si="0"/>
        <v>22820.20872749514</v>
      </c>
      <c r="O3" s="28">
        <f t="shared" si="0"/>
        <v>23436.603060924026</v>
      </c>
      <c r="P3" s="28">
        <f t="shared" si="0"/>
        <v>23897.647955077708</v>
      </c>
      <c r="Q3" s="28">
        <f t="shared" si="0"/>
        <v>24158.639344833824</v>
      </c>
      <c r="R3" s="28">
        <f t="shared" si="0"/>
        <v>24323.82967237126</v>
      </c>
      <c r="S3" s="28">
        <f t="shared" si="0"/>
        <v>24957.906690250205</v>
      </c>
      <c r="T3" s="28">
        <f t="shared" si="0"/>
        <v>25164.206887474484</v>
      </c>
      <c r="U3" s="28">
        <f t="shared" si="0"/>
        <v>25285.09338420009</v>
      </c>
      <c r="V3" s="28">
        <f t="shared" si="0"/>
        <v>25449.479848086423</v>
      </c>
      <c r="W3" s="28">
        <f t="shared" si="0"/>
        <v>25576.488641655833</v>
      </c>
      <c r="X3" s="28">
        <f t="shared" si="0"/>
        <v>26044.03696123872</v>
      </c>
      <c r="Y3" s="28">
        <f t="shared" si="0"/>
        <v>26600.34318979587</v>
      </c>
      <c r="Z3" s="28">
        <f t="shared" si="0"/>
        <v>27277.353829348747</v>
      </c>
      <c r="AA3" s="28">
        <f t="shared" si="0"/>
        <v>27963.67604414265</v>
      </c>
      <c r="AB3" s="28">
        <f t="shared" si="0"/>
        <v>28413.970013149246</v>
      </c>
      <c r="AC3" s="28">
        <f t="shared" si="0"/>
        <v>28754.627117743257</v>
      </c>
      <c r="AD3" s="28">
        <f t="shared" si="0"/>
        <v>29380.11391991708</v>
      </c>
      <c r="AE3" s="28">
        <f t="shared" si="0"/>
        <v>29720.996737683057</v>
      </c>
      <c r="AF3" s="28">
        <f t="shared" si="0"/>
        <v>30228.70006833838</v>
      </c>
      <c r="AG3" s="28">
        <f t="shared" si="0"/>
        <v>30439.71735277197</v>
      </c>
      <c r="AH3" s="28">
        <f t="shared" si="0"/>
        <v>30788.99122125736</v>
      </c>
      <c r="AI3" s="28">
        <f t="shared" si="0"/>
        <v>31275.650276549677</v>
      </c>
      <c r="AJ3" s="28">
        <f t="shared" si="0"/>
        <v>31738.054464860594</v>
      </c>
      <c r="AK3" s="28">
        <f t="shared" si="0"/>
        <v>31804.16284805993</v>
      </c>
      <c r="AL3" s="28">
        <f t="shared" si="0"/>
        <v>32121.850792901892</v>
      </c>
      <c r="AM3" s="28">
        <f t="shared" si="0"/>
        <v>32250.630607000356</v>
      </c>
      <c r="AN3" s="28">
        <f t="shared" si="0"/>
        <v>32685.530348760818</v>
      </c>
      <c r="AO3" s="28">
        <f t="shared" si="0"/>
        <v>33314.028184080904</v>
      </c>
      <c r="AP3" s="28">
        <f t="shared" si="0"/>
        <v>34028.75343248337</v>
      </c>
      <c r="AQ3" s="28">
        <f t="shared" si="0"/>
        <v>34094.88924536426</v>
      </c>
      <c r="AR3" s="28">
        <f t="shared" si="0"/>
        <v>34637.41856353736</v>
      </c>
      <c r="AS3" s="28">
        <f t="shared" si="0"/>
        <v>35366.60098167311</v>
      </c>
      <c r="AT3" s="28">
        <f t="shared" si="0"/>
        <v>35586.70449020238</v>
      </c>
      <c r="AU3" s="28">
        <f t="shared" si="0"/>
        <v>36058.82635459775</v>
      </c>
      <c r="AV3" s="28">
        <f t="shared" si="0"/>
        <v>36411.278175840154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5">
      <c r="B4" s="23" t="s">
        <v>79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si="1">G4+G4*(RAND()*(0.15--0.15)+-0.15)/12+$F4</f>
        <v>15011.787761683767</v>
      </c>
      <c r="I4" s="28">
        <f t="shared" si="1"/>
        <v>15080.273652502932</v>
      </c>
      <c r="J4" s="28">
        <f t="shared" si="1"/>
        <v>15353.083487146832</v>
      </c>
      <c r="K4" s="28">
        <f t="shared" si="1"/>
        <v>15630.241922627869</v>
      </c>
      <c r="L4" s="28">
        <f t="shared" si="1"/>
        <v>15972.086221231799</v>
      </c>
      <c r="M4" s="28">
        <f t="shared" si="1"/>
        <v>16256.805542371243</v>
      </c>
      <c r="N4" s="28">
        <f t="shared" si="1"/>
        <v>16433.994620703415</v>
      </c>
      <c r="O4" s="28">
        <f t="shared" si="1"/>
        <v>16448.081265803587</v>
      </c>
      <c r="P4" s="28">
        <f t="shared" si="1"/>
        <v>16563.426046864883</v>
      </c>
      <c r="Q4" s="28">
        <f t="shared" si="1"/>
        <v>16696.207419269464</v>
      </c>
      <c r="R4" s="28">
        <f t="shared" si="1"/>
        <v>16787.512816886625</v>
      </c>
      <c r="S4" s="28">
        <f t="shared" si="1"/>
        <v>16759.9272831383</v>
      </c>
      <c r="T4" s="28">
        <f t="shared" si="1"/>
        <v>16713.478198572568</v>
      </c>
      <c r="U4" s="28">
        <f t="shared" si="1"/>
        <v>16891.72864283344</v>
      </c>
      <c r="V4" s="28">
        <f t="shared" si="1"/>
        <v>17178.646155231905</v>
      </c>
      <c r="W4" s="28">
        <f t="shared" si="1"/>
        <v>17338.90295932388</v>
      </c>
      <c r="X4" s="28">
        <f t="shared" si="1"/>
        <v>17704.780705056084</v>
      </c>
      <c r="Y4" s="28">
        <f t="shared" si="1"/>
        <v>18065.959062605456</v>
      </c>
      <c r="Z4" s="28">
        <f t="shared" si="1"/>
        <v>18229.36403527252</v>
      </c>
      <c r="AA4" s="28">
        <f t="shared" si="1"/>
        <v>18598.623896069897</v>
      </c>
      <c r="AB4" s="28">
        <f t="shared" si="1"/>
        <v>18743.840474370572</v>
      </c>
      <c r="AC4" s="28">
        <f t="shared" si="1"/>
        <v>18960.524725726562</v>
      </c>
      <c r="AD4" s="28">
        <f t="shared" si="1"/>
        <v>19093.2844821135</v>
      </c>
      <c r="AE4" s="28">
        <f t="shared" si="1"/>
        <v>19110.26615046603</v>
      </c>
      <c r="AF4" s="28">
        <f t="shared" si="1"/>
        <v>19040.194602843447</v>
      </c>
      <c r="AG4" s="28">
        <f t="shared" si="1"/>
        <v>19095.35731259308</v>
      </c>
      <c r="AH4" s="28">
        <f t="shared" si="1"/>
        <v>19435.365275882592</v>
      </c>
      <c r="AI4" s="28">
        <f t="shared" si="1"/>
        <v>19448.977901115868</v>
      </c>
      <c r="AJ4" s="28">
        <f t="shared" si="1"/>
        <v>19814.566469156907</v>
      </c>
      <c r="AK4" s="28">
        <f t="shared" si="1"/>
        <v>19725.2561165838</v>
      </c>
      <c r="AL4" s="28">
        <f t="shared" si="1"/>
        <v>19934.492220575827</v>
      </c>
      <c r="AM4" s="28">
        <f t="shared" si="1"/>
        <v>19953.36673353284</v>
      </c>
      <c r="AN4" s="28">
        <f t="shared" si="1"/>
        <v>20208.511066593153</v>
      </c>
      <c r="AO4" s="28">
        <f t="shared" si="1"/>
        <v>20308.94128504615</v>
      </c>
      <c r="AP4" s="28">
        <f t="shared" si="1"/>
        <v>20345.41983886947</v>
      </c>
      <c r="AQ4" s="28">
        <f t="shared" si="1"/>
        <v>20480.910067091634</v>
      </c>
      <c r="AR4" s="28">
        <f t="shared" si="1"/>
        <v>20618.207917062333</v>
      </c>
      <c r="AS4" s="28">
        <f t="shared" si="1"/>
        <v>20966.86808163915</v>
      </c>
      <c r="AT4" s="28">
        <f t="shared" si="1"/>
        <v>21311.016037310852</v>
      </c>
      <c r="AU4" s="28">
        <f t="shared" si="1"/>
        <v>21668.000743342513</v>
      </c>
      <c r="AV4" s="28">
        <f t="shared" si="1"/>
        <v>22005.21157897104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5">
      <c r="B5" s="23" t="s">
        <v>80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si="2">G5+G5*(RAND()*(0.15--0.15)+-0.15)/12+$F5</f>
        <v>10139.522302641428</v>
      </c>
      <c r="I5" s="28">
        <f t="shared" si="2"/>
        <v>10355.612267222825</v>
      </c>
      <c r="J5" s="28">
        <f t="shared" si="2"/>
        <v>10618.24061693699</v>
      </c>
      <c r="K5" s="28">
        <f t="shared" si="2"/>
        <v>10652.907378022495</v>
      </c>
      <c r="L5" s="28">
        <f t="shared" si="2"/>
        <v>10870.077388078</v>
      </c>
      <c r="M5" s="28">
        <f t="shared" si="2"/>
        <v>10948.202424249152</v>
      </c>
      <c r="N5" s="28">
        <f t="shared" si="2"/>
        <v>11102.267646265103</v>
      </c>
      <c r="O5" s="28">
        <f t="shared" si="2"/>
        <v>11236.813176039506</v>
      </c>
      <c r="P5" s="28">
        <f t="shared" si="2"/>
        <v>11423.967053390003</v>
      </c>
      <c r="Q5" s="28">
        <f t="shared" si="2"/>
        <v>11566.638301292296</v>
      </c>
      <c r="R5" s="28">
        <f t="shared" si="2"/>
        <v>11829.003695601225</v>
      </c>
      <c r="S5" s="28">
        <f t="shared" si="2"/>
        <v>12001.850691411291</v>
      </c>
      <c r="T5" s="28">
        <f t="shared" si="2"/>
        <v>12101.786815636948</v>
      </c>
      <c r="U5" s="28">
        <f t="shared" si="2"/>
        <v>12331.695694650361</v>
      </c>
      <c r="V5" s="28">
        <f t="shared" si="2"/>
        <v>12509.745066585401</v>
      </c>
      <c r="W5" s="28">
        <f t="shared" si="2"/>
        <v>12701.929194685961</v>
      </c>
      <c r="X5" s="28">
        <f t="shared" si="2"/>
        <v>12847.68477618446</v>
      </c>
      <c r="Y5" s="28">
        <f t="shared" si="2"/>
        <v>12931.986177161623</v>
      </c>
      <c r="Z5" s="28">
        <f t="shared" si="2"/>
        <v>12966.32442649236</v>
      </c>
      <c r="AA5" s="28">
        <f t="shared" si="2"/>
        <v>13046.460821570632</v>
      </c>
      <c r="AB5" s="28">
        <f t="shared" si="2"/>
        <v>13082.331981393801</v>
      </c>
      <c r="AC5" s="28">
        <f t="shared" si="2"/>
        <v>13260.816887415303</v>
      </c>
      <c r="AD5" s="28">
        <f t="shared" si="2"/>
        <v>13346.433402708966</v>
      </c>
      <c r="AE5" s="28">
        <f t="shared" si="2"/>
        <v>13440.231585736366</v>
      </c>
      <c r="AF5" s="28">
        <f t="shared" si="2"/>
        <v>13590.695000736583</v>
      </c>
      <c r="AG5" s="28">
        <f t="shared" si="2"/>
        <v>13640.11927941415</v>
      </c>
      <c r="AH5" s="28">
        <f t="shared" si="2"/>
        <v>13953.518736149997</v>
      </c>
      <c r="AI5" s="28">
        <f t="shared" si="2"/>
        <v>14213.58177522265</v>
      </c>
      <c r="AJ5" s="28">
        <f t="shared" si="2"/>
        <v>14367.737443106991</v>
      </c>
      <c r="AK5" s="28">
        <f t="shared" si="2"/>
        <v>14473.831347446361</v>
      </c>
      <c r="AL5" s="28">
        <f t="shared" si="2"/>
        <v>14784.19076274163</v>
      </c>
      <c r="AM5" s="28">
        <f t="shared" si="2"/>
        <v>14866.498903301419</v>
      </c>
      <c r="AN5" s="28">
        <f t="shared" si="2"/>
        <v>15035.005217012407</v>
      </c>
      <c r="AO5" s="28">
        <f t="shared" si="2"/>
        <v>15310.44002281513</v>
      </c>
      <c r="AP5" s="28">
        <f t="shared" si="2"/>
        <v>15364.42289779968</v>
      </c>
      <c r="AQ5" s="28">
        <f t="shared" si="2"/>
        <v>15496.475512338562</v>
      </c>
      <c r="AR5" s="28">
        <f t="shared" si="2"/>
        <v>15564.071923705982</v>
      </c>
      <c r="AS5" s="28">
        <f t="shared" si="2"/>
        <v>15695.47537481129</v>
      </c>
      <c r="AT5" s="28">
        <f t="shared" si="2"/>
        <v>15864.330043039177</v>
      </c>
      <c r="AU5" s="28">
        <f t="shared" si="2"/>
        <v>16132.930782995754</v>
      </c>
      <c r="AV5" s="28">
        <f t="shared" si="2"/>
        <v>16190.289184719963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5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5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5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8"/>
  <sheetViews>
    <sheetView workbookViewId="0" zoomScale="100" zoomScaleNormal="100">
      <selection activeCell="B3" sqref="B3"/>
    </sheetView>
  </sheetViews>
  <sheetFormatPr defaultRowHeight="15" outlineLevelRow="0" outlineLevelCol="0" x14ac:dyDescent="0.2" defaultColWidth="8.83203125"/>
  <cols>
    <col min="2" max="2" width="25.83203125" customWidth="1"/>
    <col min="3" max="3" width="19.6640625" customWidth="1"/>
  </cols>
  <sheetData>
    <row r="2" spans="2:3" x14ac:dyDescent="0.25">
      <c r="B2" t="s">
        <v>0</v>
      </c>
      <c r="C2" t="s">
        <v>1</v>
      </c>
    </row>
    <row r="3" ht="17" customHeight="1" spans="2:3" x14ac:dyDescent="0.25">
      <c r="B3" s="1" t="s">
        <v>2</v>
      </c>
      <c r="C3" s="1" t="s">
        <v>2</v>
      </c>
    </row>
    <row r="4" ht="17" customHeight="1" spans="2:3" x14ac:dyDescent="0.25">
      <c r="B4" s="1" t="s">
        <v>3</v>
      </c>
      <c r="C4" s="1" t="s">
        <v>2</v>
      </c>
    </row>
    <row r="5" ht="17" customHeight="1" spans="2:3" x14ac:dyDescent="0.25">
      <c r="B5" s="1" t="s">
        <v>4</v>
      </c>
      <c r="C5" s="1" t="s">
        <v>2</v>
      </c>
    </row>
    <row r="6" ht="17" customHeight="1" spans="2:3" x14ac:dyDescent="0.25">
      <c r="B6" s="1" t="s">
        <v>5</v>
      </c>
      <c r="C6" s="1" t="s">
        <v>6</v>
      </c>
    </row>
    <row r="7" ht="17" customHeight="1" spans="2:3" x14ac:dyDescent="0.25">
      <c r="B7" s="1" t="s">
        <v>7</v>
      </c>
      <c r="C7" s="1" t="s">
        <v>6</v>
      </c>
    </row>
    <row r="8" ht="17" customHeight="1" spans="2:3" x14ac:dyDescent="0.25">
      <c r="B8" s="1" t="s">
        <v>8</v>
      </c>
      <c r="C8" s="1" t="s">
        <v>6</v>
      </c>
    </row>
    <row r="9" ht="17" customHeight="1" spans="2:3" x14ac:dyDescent="0.25">
      <c r="B9" s="1" t="s">
        <v>9</v>
      </c>
      <c r="C9" s="1" t="s">
        <v>6</v>
      </c>
    </row>
    <row r="10" ht="17" customHeight="1" spans="2:3" x14ac:dyDescent="0.25">
      <c r="B10" s="1" t="s">
        <v>10</v>
      </c>
      <c r="C10" s="1" t="s">
        <v>6</v>
      </c>
    </row>
    <row r="11" ht="17" customHeight="1" spans="2:3" x14ac:dyDescent="0.25">
      <c r="B11" s="1" t="s">
        <v>11</v>
      </c>
      <c r="C11" s="1" t="s">
        <v>6</v>
      </c>
    </row>
    <row r="12" ht="17" customHeight="1" spans="2:3" x14ac:dyDescent="0.25">
      <c r="B12" s="1" t="s">
        <v>12</v>
      </c>
      <c r="C12" s="1" t="s">
        <v>6</v>
      </c>
    </row>
    <row r="13" ht="17" customHeight="1" spans="2:3" x14ac:dyDescent="0.25">
      <c r="B13" s="1" t="s">
        <v>13</v>
      </c>
      <c r="C13" s="1" t="s">
        <v>6</v>
      </c>
    </row>
    <row r="14" ht="17" customHeight="1" spans="2:3" x14ac:dyDescent="0.25">
      <c r="B14" s="1" t="s">
        <v>14</v>
      </c>
      <c r="C14" s="1" t="s">
        <v>6</v>
      </c>
    </row>
    <row r="15" ht="17" customHeight="1" spans="2:3" x14ac:dyDescent="0.25">
      <c r="B15" s="1" t="s">
        <v>15</v>
      </c>
      <c r="C15" s="1" t="s">
        <v>15</v>
      </c>
    </row>
    <row r="16" ht="17" customHeight="1" spans="2:3" x14ac:dyDescent="0.25">
      <c r="B16" s="1">
        <v>529</v>
      </c>
      <c r="C16" s="1" t="s">
        <v>16</v>
      </c>
    </row>
    <row r="17" ht="17" customHeight="1" spans="2:3" x14ac:dyDescent="0.25">
      <c r="B17" s="1" t="s">
        <v>17</v>
      </c>
      <c r="C17" s="1" t="s">
        <v>16</v>
      </c>
    </row>
    <row r="18" ht="17" customHeight="1" spans="2:3" x14ac:dyDescent="0.25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G18"/>
  <sheetViews>
    <sheetView workbookViewId="0" zoomScale="100" zoomScaleNormal="100">
      <selection activeCell="H37" sqref="H37"/>
    </sheetView>
  </sheetViews>
  <sheetFormatPr defaultRowHeight="16" outlineLevelRow="0" outlineLevelCol="0" x14ac:dyDescent="0.2" defaultColWidth="10.83203125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ht="16" customHeight="1" spans="2:7" x14ac:dyDescent="0.25">
      <c r="B2" s="2" t="s">
        <v>45</v>
      </c>
      <c r="C2" s="2" t="s">
        <v>46</v>
      </c>
      <c r="D2" s="2" t="s">
        <v>47</v>
      </c>
      <c r="F2" s="2" t="s">
        <v>48</v>
      </c>
      <c r="G2" s="18">
        <v>100000</v>
      </c>
    </row>
    <row r="3" ht="16" customHeight="1" spans="2:7" x14ac:dyDescent="0.25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ht="16" customHeight="1" spans="2:7" x14ac:dyDescent="0.25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ht="16" customHeight="1" spans="2:7" x14ac:dyDescent="0.25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ht="16" customHeight="1" spans="2:4" x14ac:dyDescent="0.25">
      <c r="B6" s="2" t="s">
        <v>48</v>
      </c>
      <c r="C6" s="2" t="s">
        <v>50</v>
      </c>
      <c r="D6" s="19">
        <v>5000</v>
      </c>
    </row>
    <row r="7" ht="16" customHeight="1" spans="2:4" x14ac:dyDescent="0.25">
      <c r="B7" s="2" t="s">
        <v>48</v>
      </c>
      <c r="C7" s="2" t="s">
        <v>56</v>
      </c>
      <c r="D7" s="19">
        <f>G2-SUM(D5:D6)</f>
        <v>41000</v>
      </c>
    </row>
    <row r="8" ht="16" customHeight="1" spans="2:4" x14ac:dyDescent="0.25">
      <c r="B8" s="2" t="s">
        <v>56</v>
      </c>
      <c r="C8" s="2" t="s">
        <v>57</v>
      </c>
      <c r="D8" s="19">
        <f>(250*G5)*12</f>
        <v>6000</v>
      </c>
    </row>
    <row r="9" ht="16" customHeight="1" spans="2:4" x14ac:dyDescent="0.25">
      <c r="B9" s="2" t="s">
        <v>56</v>
      </c>
      <c r="C9" s="2" t="s">
        <v>58</v>
      </c>
      <c r="D9" s="19">
        <v>10000</v>
      </c>
    </row>
    <row r="10" ht="16" customHeight="1" spans="2:4" x14ac:dyDescent="0.25">
      <c r="B10" s="2" t="s">
        <v>56</v>
      </c>
      <c r="C10" s="2" t="s">
        <v>59</v>
      </c>
      <c r="D10" s="19">
        <v>12000</v>
      </c>
    </row>
    <row r="11" ht="16" customHeight="1" spans="2:4" x14ac:dyDescent="0.25">
      <c r="B11" s="2" t="s">
        <v>56</v>
      </c>
      <c r="C11" s="2" t="s">
        <v>53</v>
      </c>
      <c r="D11" s="19">
        <f>D7-SUM(D8:D10,D12)</f>
        <v>8000</v>
      </c>
    </row>
    <row r="12" ht="16" customHeight="1" spans="2:4" x14ac:dyDescent="0.25">
      <c r="B12" s="2" t="s">
        <v>56</v>
      </c>
      <c r="C12" s="2" t="s">
        <v>60</v>
      </c>
      <c r="D12" s="2">
        <v>5000</v>
      </c>
    </row>
    <row r="15" ht="16" customHeight="1" spans="4:4" x14ac:dyDescent="0.25">
      <c r="D15" s="19"/>
    </row>
    <row r="16" ht="16" customHeight="1" spans="4:4" x14ac:dyDescent="0.25">
      <c r="D16" s="19"/>
    </row>
    <row r="17" ht="16" customHeight="1" spans="4:4" x14ac:dyDescent="0.25">
      <c r="D17" s="19"/>
    </row>
    <row r="18" ht="16" customHeight="1" spans="4:4" x14ac:dyDescent="0.25">
      <c r="D18" s="19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N41"/>
  <sheetViews>
    <sheetView workbookViewId="0" zoomScale="120" zoomScaleNormal="120">
      <selection activeCell="G5" sqref="G5"/>
    </sheetView>
  </sheetViews>
  <sheetFormatPr defaultRowHeight="16" outlineLevelRow="0" outlineLevelCol="1" x14ac:dyDescent="0.2" defaultColWidth="10.83203125" customHeight="1"/>
  <cols>
    <col min="1" max="1" width="3.1640625" style="8" customWidth="1"/>
    <col min="2" max="2" width="13.33203125" style="8" customWidth="1"/>
    <col min="3" max="3" width="13.6640625" style="8" outlineLevel="1" collapsed="1" customWidth="1"/>
    <col min="4" max="4" width="10.83203125" style="2" outlineLevel="1" collapsed="1" customWidth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6384" width="10.83203125" style="8" customWidth="1"/>
  </cols>
  <sheetData>
    <row r="1" ht="15" customHeight="1" spans="4:14" x14ac:dyDescent="0.25">
      <c r="D1" s="8"/>
      <c r="L1" s="17"/>
      <c r="N1" s="8"/>
    </row>
    <row r="2" ht="29" customHeight="1" spans="1:14" s="30" customFormat="1" x14ac:dyDescent="0.25">
      <c r="A2" s="8"/>
      <c r="B2" s="31" t="s">
        <v>19</v>
      </c>
      <c r="C2" s="31" t="s">
        <v>0</v>
      </c>
      <c r="D2" s="31" t="s">
        <v>21</v>
      </c>
      <c r="E2" s="31" t="s">
        <v>81</v>
      </c>
      <c r="F2" s="31" t="s">
        <v>82</v>
      </c>
      <c r="G2" s="31" t="s">
        <v>83</v>
      </c>
      <c r="H2" s="32" t="s">
        <v>84</v>
      </c>
      <c r="I2" s="31" t="s">
        <v>85</v>
      </c>
      <c r="J2" s="31" t="s">
        <v>86</v>
      </c>
      <c r="K2" s="31" t="s">
        <v>87</v>
      </c>
      <c r="L2" s="31" t="s">
        <v>88</v>
      </c>
      <c r="M2" s="31" t="s">
        <v>89</v>
      </c>
      <c r="N2" s="31" t="s">
        <v>90</v>
      </c>
    </row>
    <row r="3" ht="14" customHeight="1" spans="2:14" x14ac:dyDescent="0.25">
      <c r="B3" s="6" t="s">
        <v>22</v>
      </c>
      <c r="C3" s="6" t="str">
        <f t="array" ref="C3">_xlfn.XLOOKUP(Table4[[#This Row],[Account]],Table25[[#All],[Account]],Table25[[#All],[Account Type2]])</f>
        <v>Brokerage</v>
      </c>
      <c r="D3" s="6" t="str">
        <f t="array" ref="D3">_xlfn.XLOOKUP(Table4[[#This Row],[Account]],Table25[[#All],[Account]],Table25[[#All],[Owner]])</f>
        <v>Drew</v>
      </c>
      <c r="E3" t="s">
        <v>91</v>
      </c>
      <c r="F3" s="6" t="s">
        <v>92</v>
      </c>
      <c r="G3" s="33" t="str">
        <f t="array" ref="G3">_xlfn.XLOOKUP(Table4[[#This Row],[Symbol]],Table36[[#All],[Symbol]],Table36[[#All],[Security Description]])</f>
        <v>APPLE INC</v>
      </c>
      <c r="H3" s="34">
        <v>41715</v>
      </c>
      <c r="I3">
        <v>1</v>
      </c>
      <c r="J3" s="35">
        <v>531.225</v>
      </c>
      <c r="K3" s="36">
        <v>43143</v>
      </c>
      <c r="M3" s="6">
        <v>7</v>
      </c>
      <c r="N3" s="37">
        <v>162.30785714285713</v>
      </c>
    </row>
    <row r="4" ht="16" customHeight="1" spans="2:14" x14ac:dyDescent="0.25">
      <c r="B4" s="6" t="s">
        <v>22</v>
      </c>
      <c r="C4" s="6" t="str">
        <f t="array" ref="C4">_xlfn.XLOOKUP(Table4[[#This Row],[Account]],Table25[[#All],[Account]],Table25[[#All],[Account Type2]])</f>
        <v>Brokerage</v>
      </c>
      <c r="D4" s="6" t="str">
        <f t="array" ref="D4">_xlfn.XLOOKUP(Table4[[#This Row],[Account]],Table25[[#All],[Account]],Table25[[#All],[Owner]])</f>
        <v>Drew</v>
      </c>
      <c r="E4" t="s">
        <v>91</v>
      </c>
      <c r="F4" s="6" t="s">
        <v>92</v>
      </c>
      <c r="G4" s="33" t="str">
        <f t="array" ref="G4">_xlfn.XLOOKUP(Table4[[#This Row],[Symbol]],Table36[[#All],[Symbol]],Table36[[#All],[Security Description]])</f>
        <v>APPLE INC</v>
      </c>
      <c r="H4" s="34">
        <v>41807</v>
      </c>
      <c r="I4">
        <v>1</v>
      </c>
      <c r="J4" s="35">
        <v>92.89727272727272</v>
      </c>
      <c r="K4" s="36">
        <v>43143</v>
      </c>
      <c r="M4" s="6">
        <v>1</v>
      </c>
      <c r="N4" s="37">
        <v>162.30818181818182</v>
      </c>
    </row>
    <row r="5" ht="16" customHeight="1" spans="2:14" x14ac:dyDescent="0.25">
      <c r="B5" s="6" t="s">
        <v>22</v>
      </c>
      <c r="C5" s="6" t="str">
        <f t="array" ref="C5">_xlfn.XLOOKUP(Table4[[#This Row],[Account]],Table25[[#All],[Account]],Table25[[#All],[Account Type2]])</f>
        <v>Brokerage</v>
      </c>
      <c r="D5" s="6" t="str">
        <f t="array" ref="D5">_xlfn.XLOOKUP(Table4[[#This Row],[Account]],Table25[[#All],[Account]],Table25[[#All],[Owner]])</f>
        <v>Drew</v>
      </c>
      <c r="E5" t="s">
        <v>91</v>
      </c>
      <c r="F5" s="6" t="s">
        <v>92</v>
      </c>
      <c r="G5" s="33" t="str">
        <f t="array" ref="G5">_xlfn.XLOOKUP(Table4[[#This Row],[Symbol]],Table36[[#All],[Symbol]],Table36[[#All],[Security Description]])</f>
        <v>APPLE INC</v>
      </c>
      <c r="H5" s="34">
        <v>41807</v>
      </c>
      <c r="I5">
        <v>1</v>
      </c>
      <c r="J5" s="35">
        <v>92.89727272727272</v>
      </c>
      <c r="K5" s="36">
        <v>44074</v>
      </c>
      <c r="M5" s="6">
        <v>1</v>
      </c>
      <c r="N5" s="37">
        <v>130.60750000000002</v>
      </c>
    </row>
    <row r="6" ht="16" customHeight="1" spans="2:14" x14ac:dyDescent="0.25">
      <c r="B6" s="6" t="s">
        <v>22</v>
      </c>
      <c r="C6" s="6" t="str">
        <f t="array" ref="C6">_xlfn.XLOOKUP(Table4[[#This Row],[Account]],Table25[[#All],[Account]],Table25[[#All],[Account Type2]])</f>
        <v>Brokerage</v>
      </c>
      <c r="D6" s="6" t="str">
        <f t="array" ref="D6">_xlfn.XLOOKUP(Table4[[#This Row],[Account]],Table25[[#All],[Account]],Table25[[#All],[Owner]])</f>
        <v>Drew</v>
      </c>
      <c r="E6" t="s">
        <v>91</v>
      </c>
      <c r="F6" s="6" t="s">
        <v>92</v>
      </c>
      <c r="G6" s="33" t="str">
        <f t="array" ref="G6">_xlfn.XLOOKUP(Table4[[#This Row],[Symbol]],Table36[[#All],[Symbol]],Table36[[#All],[Security Description]])</f>
        <v>APPLE INC</v>
      </c>
      <c r="H6" s="34">
        <v>41988</v>
      </c>
      <c r="I6">
        <v>1</v>
      </c>
      <c r="J6" s="35">
        <v>111.29333333333334</v>
      </c>
      <c r="K6" s="36">
        <v>44074</v>
      </c>
      <c r="M6" s="6">
        <v>4</v>
      </c>
      <c r="N6" s="37">
        <v>130.60777777777778</v>
      </c>
    </row>
    <row r="7" ht="16" customHeight="1" spans="2:14" x14ac:dyDescent="0.25">
      <c r="B7" s="6" t="s">
        <v>22</v>
      </c>
      <c r="C7" s="6" t="str">
        <f t="array" ref="C7">_xlfn.XLOOKUP(Table4[[#This Row],[Account]],Table25[[#All],[Account]],Table25[[#All],[Account Type2]])</f>
        <v>Brokerage</v>
      </c>
      <c r="D7" s="6" t="str">
        <f t="array" ref="D7">_xlfn.XLOOKUP(Table4[[#This Row],[Account]],Table25[[#All],[Account]],Table25[[#All],[Owner]])</f>
        <v>Drew</v>
      </c>
      <c r="E7" t="s">
        <v>93</v>
      </c>
      <c r="F7" s="6" t="s">
        <v>92</v>
      </c>
      <c r="G7" s="33" t="str">
        <f t="array" ref="G7">_xlfn.XLOOKUP(Table4[[#This Row],[Symbol]],Table36[[#All],[Symbol]],Table36[[#All],[Security Description]])</f>
        <v>APPLE INC</v>
      </c>
      <c r="H7" s="34">
        <v>42359</v>
      </c>
      <c r="I7">
        <v>1</v>
      </c>
      <c r="J7" s="35">
        <v>107.32</v>
      </c>
      <c r="K7" s="36"/>
      <c r="M7" s="6"/>
      <c r="N7" s="37" t="s">
        <v>94</v>
      </c>
    </row>
    <row r="8" ht="16" customHeight="1" spans="2:14" x14ac:dyDescent="0.25">
      <c r="B8" s="6" t="s">
        <v>22</v>
      </c>
      <c r="C8" s="6" t="str">
        <f t="array" ref="C8">_xlfn.XLOOKUP(Table4[[#This Row],[Account]],Table25[[#All],[Account]],Table25[[#All],[Account Type2]])</f>
        <v>Brokerage</v>
      </c>
      <c r="D8" s="6" t="str">
        <f t="array" ref="D8">_xlfn.XLOOKUP(Table4[[#This Row],[Account]],Table25[[#All],[Account]],Table25[[#All],[Owner]])</f>
        <v>Drew</v>
      </c>
      <c r="E8" t="s">
        <v>91</v>
      </c>
      <c r="F8" s="6" t="s">
        <v>92</v>
      </c>
      <c r="G8" s="33" t="str">
        <f t="array" ref="G8">_xlfn.XLOOKUP(Table4[[#This Row],[Symbol]],Table36[[#All],[Symbol]],Table36[[#All],[Security Description]])</f>
        <v>APPLE INC</v>
      </c>
      <c r="H8" s="34">
        <v>42359</v>
      </c>
      <c r="I8">
        <v>1</v>
      </c>
      <c r="J8" s="35">
        <v>107.32</v>
      </c>
      <c r="K8" s="36">
        <v>44074</v>
      </c>
      <c r="M8" s="6">
        <v>4</v>
      </c>
      <c r="N8" s="37">
        <v>130.6075</v>
      </c>
    </row>
    <row r="9" ht="16" customHeight="1" spans="2:14" x14ac:dyDescent="0.25">
      <c r="B9" s="6" t="s">
        <v>22</v>
      </c>
      <c r="C9" s="6" t="str">
        <f t="array" ref="C9">_xlfn.XLOOKUP(Table4[[#This Row],[Account]],Table25[[#All],[Account]],Table25[[#All],[Account Type2]])</f>
        <v>Brokerage</v>
      </c>
      <c r="D9" s="6" t="str">
        <f t="array" ref="D9">_xlfn.XLOOKUP(Table4[[#This Row],[Account]],Table25[[#All],[Account]],Table25[[#All],[Owner]])</f>
        <v>Drew</v>
      </c>
      <c r="E9" t="s">
        <v>91</v>
      </c>
      <c r="F9" s="6" t="s">
        <v>92</v>
      </c>
      <c r="G9" s="33" t="str">
        <f t="array" ref="G9">_xlfn.XLOOKUP(Table4[[#This Row],[Symbol]],Table36[[#All],[Symbol]],Table36[[#All],[Security Description]])</f>
        <v>APPLE INC</v>
      </c>
      <c r="H9" s="34">
        <v>42359</v>
      </c>
      <c r="I9">
        <v>1</v>
      </c>
      <c r="J9" s="35">
        <v>107.32</v>
      </c>
      <c r="K9" s="38">
        <v>45415</v>
      </c>
      <c r="L9" t="s">
        <v>95</v>
      </c>
      <c r="M9" s="6">
        <v>4</v>
      </c>
      <c r="N9" s="37">
        <v>183.38</v>
      </c>
    </row>
    <row r="10" ht="16" customHeight="1" spans="2:14" x14ac:dyDescent="0.25">
      <c r="B10" s="6" t="s">
        <v>22</v>
      </c>
      <c r="C10" s="6" t="str">
        <f t="array" ref="C10">_xlfn.XLOOKUP(Table4[[#This Row],[Account]],Table25[[#All],[Account]],Table25[[#All],[Account Type2]])</f>
        <v>Brokerage</v>
      </c>
      <c r="D10" s="6" t="str">
        <f t="array" ref="D10">_xlfn.XLOOKUP(Table4[[#This Row],[Account]],Table25[[#All],[Account]],Table25[[#All],[Owner]])</f>
        <v>Drew</v>
      </c>
      <c r="E10" t="s">
        <v>91</v>
      </c>
      <c r="F10" s="6" t="s">
        <v>92</v>
      </c>
      <c r="G10" s="33" t="str">
        <f t="array" ref="G10">_xlfn.XLOOKUP(Table4[[#This Row],[Symbol]],Table36[[#All],[Symbol]],Table36[[#All],[Security Description]])</f>
        <v>APPLE INC</v>
      </c>
      <c r="H10" s="34">
        <v>42359</v>
      </c>
      <c r="I10">
        <v>1</v>
      </c>
      <c r="J10" s="35">
        <v>107.32</v>
      </c>
      <c r="K10" s="38">
        <v>45608</v>
      </c>
      <c r="L10" t="s">
        <v>95</v>
      </c>
      <c r="M10" s="6">
        <v>4</v>
      </c>
      <c r="N10" s="37">
        <v>224.73142857142855</v>
      </c>
    </row>
    <row r="11" ht="16" customHeight="1" spans="2:14" x14ac:dyDescent="0.25">
      <c r="B11" s="6" t="s">
        <v>22</v>
      </c>
      <c r="C11" s="6" t="str">
        <f t="array" ref="C11">_xlfn.XLOOKUP(Table4[[#This Row],[Account]],Table25[[#All],[Account]],Table25[[#All],[Account Type2]])</f>
        <v>Brokerage</v>
      </c>
      <c r="D11" s="6" t="str">
        <f t="array" ref="D11">_xlfn.XLOOKUP(Table4[[#This Row],[Account]],Table25[[#All],[Account]],Table25[[#All],[Owner]])</f>
        <v>Drew</v>
      </c>
      <c r="E11" t="s">
        <v>91</v>
      </c>
      <c r="F11" s="6" t="s">
        <v>92</v>
      </c>
      <c r="G11" s="33" t="str">
        <f t="array" ref="G11">_xlfn.XLOOKUP(Table4[[#This Row],[Symbol]],Table36[[#All],[Symbol]],Table36[[#All],[Security Description]])</f>
        <v>APPLE INC</v>
      </c>
      <c r="H11" s="34">
        <v>42359</v>
      </c>
      <c r="I11">
        <v>1</v>
      </c>
      <c r="J11" s="35">
        <v>107.32</v>
      </c>
      <c r="K11" s="38">
        <v>45698</v>
      </c>
      <c r="M11" s="6">
        <v>4</v>
      </c>
      <c r="N11" s="37">
        <v>229.405</v>
      </c>
    </row>
    <row r="12" ht="16" customHeight="1" spans="2:14" x14ac:dyDescent="0.25">
      <c r="B12" s="6" t="s">
        <v>22</v>
      </c>
      <c r="C12" s="6" t="str">
        <f t="array" ref="C12">_xlfn.XLOOKUP(Table4[[#This Row],[Account]],Table25[[#All],[Account]],Table25[[#All],[Account Type2]])</f>
        <v>Brokerage</v>
      </c>
      <c r="D12" s="6" t="str">
        <f t="array" ref="D12">_xlfn.XLOOKUP(Table4[[#This Row],[Account]],Table25[[#All],[Account]],Table25[[#All],[Owner]])</f>
        <v>Drew</v>
      </c>
      <c r="E12" t="s">
        <v>93</v>
      </c>
      <c r="F12" s="6" t="s">
        <v>92</v>
      </c>
      <c r="G12" s="33" t="str">
        <f t="array" ref="G12">_xlfn.XLOOKUP(Table4[[#This Row],[Symbol]],Table36[[#All],[Symbol]],Table36[[#All],[Security Description]])</f>
        <v>APPLE INC</v>
      </c>
      <c r="H12" s="34">
        <v>43837</v>
      </c>
      <c r="I12">
        <v>1</v>
      </c>
      <c r="J12" s="35">
        <v>299.7</v>
      </c>
      <c r="K12" s="36"/>
      <c r="M12" s="6"/>
      <c r="N12" s="37" t="s">
        <v>94</v>
      </c>
    </row>
    <row r="13" ht="16" customHeight="1" spans="2:14" x14ac:dyDescent="0.25">
      <c r="B13" s="6" t="s">
        <v>22</v>
      </c>
      <c r="C13" s="6" t="str">
        <f t="array" ref="C13">_xlfn.XLOOKUP(Table4[[#This Row],[Account]],Table25[[#All],[Account]],Table25[[#All],[Account Type2]])</f>
        <v>Brokerage</v>
      </c>
      <c r="D13" s="6" t="str">
        <f t="array" ref="D13">_xlfn.XLOOKUP(Table4[[#This Row],[Account]],Table25[[#All],[Account]],Table25[[#All],[Owner]])</f>
        <v>Drew</v>
      </c>
      <c r="E13" t="s">
        <v>93</v>
      </c>
      <c r="F13" s="6" t="s">
        <v>92</v>
      </c>
      <c r="G13" s="33" t="str">
        <f t="array" ref="G13">_xlfn.XLOOKUP(Table4[[#This Row],[Symbol]],Table36[[#All],[Symbol]],Table36[[#All],[Security Description]])</f>
        <v>APPLE INC</v>
      </c>
      <c r="H13" s="34">
        <v>44365</v>
      </c>
      <c r="I13">
        <v>1</v>
      </c>
      <c r="J13" s="35">
        <v>130.96</v>
      </c>
      <c r="K13" s="36"/>
      <c r="M13" s="6"/>
      <c r="N13" s="37" t="s">
        <v>94</v>
      </c>
    </row>
    <row r="14" ht="16" customHeight="1" spans="2:14" x14ac:dyDescent="0.25">
      <c r="B14" s="6" t="s">
        <v>22</v>
      </c>
      <c r="C14" s="6" t="str">
        <f t="array" ref="C14">_xlfn.XLOOKUP(Table4[[#This Row],[Account]],Table25[[#All],[Account]],Table25[[#All],[Account Type2]])</f>
        <v>Brokerage</v>
      </c>
      <c r="D14" s="6" t="str">
        <f t="array" ref="D14">_xlfn.XLOOKUP(Table4[[#This Row],[Account]],Table25[[#All],[Account]],Table25[[#All],[Owner]])</f>
        <v>Drew</v>
      </c>
      <c r="E14" t="s">
        <v>93</v>
      </c>
      <c r="F14" s="6" t="s">
        <v>92</v>
      </c>
      <c r="G14" s="33" t="str">
        <f t="array" ref="G14">_xlfn.XLOOKUP(Table4[[#This Row],[Symbol]],Table36[[#All],[Symbol]],Table36[[#All],[Security Description]])</f>
        <v>APPLE INC</v>
      </c>
      <c r="H14" s="34">
        <v>44657</v>
      </c>
      <c r="I14">
        <v>1</v>
      </c>
      <c r="J14" s="35">
        <v>170.82</v>
      </c>
      <c r="K14" s="38"/>
      <c r="M14" s="6"/>
      <c r="N14" s="37" t="s">
        <v>94</v>
      </c>
    </row>
    <row r="15" ht="16" customHeight="1" spans="2:14" x14ac:dyDescent="0.25">
      <c r="B15" s="6" t="s">
        <v>22</v>
      </c>
      <c r="C15" s="6" t="str">
        <f t="array" ref="C15">_xlfn.XLOOKUP(Table4[[#This Row],[Account]],Table25[[#All],[Account]],Table25[[#All],[Account Type2]])</f>
        <v>Brokerage</v>
      </c>
      <c r="D15" s="6" t="str">
        <f t="array" ref="D15">_xlfn.XLOOKUP(Table4[[#This Row],[Account]],Table25[[#All],[Account]],Table25[[#All],[Owner]])</f>
        <v>Drew</v>
      </c>
      <c r="E15" t="s">
        <v>93</v>
      </c>
      <c r="F15" s="6" t="s">
        <v>92</v>
      </c>
      <c r="G15" s="33" t="str">
        <f t="array" ref="G15">_xlfn.XLOOKUP(Table4[[#This Row],[Symbol]],Table36[[#All],[Symbol]],Table36[[#All],[Security Description]])</f>
        <v>APPLE INC</v>
      </c>
      <c r="H15" s="34">
        <v>44683</v>
      </c>
      <c r="I15">
        <v>1</v>
      </c>
      <c r="J15" s="35">
        <v>153.885</v>
      </c>
      <c r="K15" s="38"/>
      <c r="M15" s="6"/>
      <c r="N15" s="37" t="s">
        <v>94</v>
      </c>
    </row>
    <row r="16" ht="16" customHeight="1" spans="2:14" x14ac:dyDescent="0.25">
      <c r="B16" s="6" t="s">
        <v>22</v>
      </c>
      <c r="C16" s="6" t="str">
        <f t="array" ref="C16">_xlfn.XLOOKUP(Table4[[#This Row],[Account]],Table25[[#All],[Account]],Table25[[#All],[Account Type2]])</f>
        <v>Brokerage</v>
      </c>
      <c r="D16" s="6" t="str">
        <f t="array" ref="D16">_xlfn.XLOOKUP(Table4[[#This Row],[Account]],Table25[[#All],[Account]],Table25[[#All],[Owner]])</f>
        <v>Drew</v>
      </c>
      <c r="E16" t="s">
        <v>93</v>
      </c>
      <c r="F16" s="6" t="s">
        <v>92</v>
      </c>
      <c r="G16" s="33" t="str">
        <f t="array" ref="G16">_xlfn.XLOOKUP(Table4[[#This Row],[Symbol]],Table36[[#All],[Symbol]],Table36[[#All],[Security Description]])</f>
        <v>APPLE INC</v>
      </c>
      <c r="H16" s="34">
        <v>45022</v>
      </c>
      <c r="I16">
        <v>1</v>
      </c>
      <c r="J16" s="35">
        <v>164.47</v>
      </c>
      <c r="K16" s="38"/>
      <c r="M16" s="6"/>
      <c r="N16" s="37" t="s">
        <v>94</v>
      </c>
    </row>
    <row r="17" ht="16" customHeight="1" spans="2:14" x14ac:dyDescent="0.25">
      <c r="B17" s="6" t="s">
        <v>22</v>
      </c>
      <c r="C17" s="6" t="str">
        <f t="array" ref="C17">_xlfn.XLOOKUP(Table4[[#This Row],[Account]],Table25[[#All],[Account]],Table25[[#All],[Account Type2]])</f>
        <v>Brokerage</v>
      </c>
      <c r="D17" s="6" t="str">
        <f t="array" ref="D17">_xlfn.XLOOKUP(Table4[[#This Row],[Account]],Table25[[#All],[Account]],Table25[[#All],[Owner]])</f>
        <v>Drew</v>
      </c>
      <c r="E17" t="s">
        <v>93</v>
      </c>
      <c r="F17" s="6" t="s">
        <v>92</v>
      </c>
      <c r="G17" s="33" t="str">
        <f t="array" ref="G17">_xlfn.XLOOKUP(Table4[[#This Row],[Symbol]],Table36[[#All],[Symbol]],Table36[[#All],[Security Description]])</f>
        <v>APPLE INC</v>
      </c>
      <c r="H17" s="34">
        <v>45079</v>
      </c>
      <c r="I17">
        <v>1</v>
      </c>
      <c r="J17" s="35">
        <v>180.94</v>
      </c>
      <c r="K17" s="38"/>
      <c r="M17" s="6"/>
      <c r="N17" s="37" t="s">
        <v>94</v>
      </c>
    </row>
    <row r="18" ht="16" customHeight="1" spans="2:14" x14ac:dyDescent="0.25">
      <c r="B18" s="6" t="s">
        <v>22</v>
      </c>
      <c r="C18" s="6" t="str">
        <f t="array" ref="C18">_xlfn.XLOOKUP(Table4[[#This Row],[Account]],Table25[[#All],[Account]],Table25[[#All],[Account Type2]])</f>
        <v>Brokerage</v>
      </c>
      <c r="D18" s="6" t="str">
        <f t="array" ref="D18">_xlfn.XLOOKUP(Table4[[#This Row],[Account]],Table25[[#All],[Account]],Table25[[#All],[Owner]])</f>
        <v>Drew</v>
      </c>
      <c r="E18" t="s">
        <v>93</v>
      </c>
      <c r="F18" s="6" t="s">
        <v>92</v>
      </c>
      <c r="G18" s="33" t="str">
        <f t="array" ref="G18">_xlfn.XLOOKUP(Table4[[#This Row],[Symbol]],Table36[[#All],[Symbol]],Table36[[#All],[Security Description]])</f>
        <v>APPLE INC</v>
      </c>
      <c r="H18" s="34">
        <v>45215</v>
      </c>
      <c r="I18">
        <v>1</v>
      </c>
      <c r="J18" s="35">
        <v>177.976</v>
      </c>
      <c r="K18" s="38"/>
      <c r="M18" s="6"/>
      <c r="N18" s="37" t="s">
        <v>94</v>
      </c>
    </row>
    <row r="19" ht="16" customHeight="1" spans="2:14" x14ac:dyDescent="0.25">
      <c r="B19" s="6" t="s">
        <v>22</v>
      </c>
      <c r="C19" s="6" t="str">
        <f t="array" ref="C19">_xlfn.XLOOKUP(Table4[[#This Row],[Account]],Table25[[#All],[Account]],Table25[[#All],[Account Type2]])</f>
        <v>Brokerage</v>
      </c>
      <c r="D19" s="6" t="str">
        <f t="array" ref="D19">_xlfn.XLOOKUP(Table4[[#This Row],[Account]],Table25[[#All],[Account]],Table25[[#All],[Owner]])</f>
        <v>Drew</v>
      </c>
      <c r="E19" t="s">
        <v>93</v>
      </c>
      <c r="F19" s="6" t="s">
        <v>92</v>
      </c>
      <c r="G19" s="33" t="str">
        <f t="array" ref="G19">_xlfn.XLOOKUP(Table4[[#This Row],[Symbol]],Table36[[#All],[Symbol]],Table36[[#All],[Security Description]])</f>
        <v>APPLE INC</v>
      </c>
      <c r="H19" s="34">
        <v>45481</v>
      </c>
      <c r="I19">
        <v>1</v>
      </c>
      <c r="J19" s="35">
        <v>225.52</v>
      </c>
      <c r="K19" s="38"/>
      <c r="M19" s="6"/>
      <c r="N19" s="37" t="s">
        <v>94</v>
      </c>
    </row>
    <row r="20" ht="16" customHeight="1" spans="2:14" x14ac:dyDescent="0.25">
      <c r="B20" s="5" t="s">
        <v>24</v>
      </c>
      <c r="C20" s="6" t="str">
        <f t="array" ref="C20">_xlfn.XLOOKUP(Table4[[#This Row],[Account]],Table25[[#All],[Account]],Table25[[#All],[Account Type2]])</f>
        <v>Roth IRA</v>
      </c>
      <c r="D20" s="6" t="str">
        <f t="array" ref="D20">_xlfn.XLOOKUP(Table4[[#This Row],[Account]],Table25[[#All],[Account]],Table25[[#All],[Owner]])</f>
        <v>Shaun</v>
      </c>
      <c r="E20" s="6" t="s">
        <v>91</v>
      </c>
      <c r="F20" s="6" t="s">
        <v>96</v>
      </c>
      <c r="G20" s="33" t="str">
        <f t="array" ref="G20">_xlfn.XLOOKUP(Table4[[#This Row],[Symbol]],Table36[[#All],[Symbol]],Table36[[#All],[Security Description]])</f>
        <v>AIRBNB INC COM CL A</v>
      </c>
      <c r="H20" s="39">
        <v>44344</v>
      </c>
      <c r="I20" s="6">
        <v>1</v>
      </c>
      <c r="J20" s="37">
        <v>143.05</v>
      </c>
      <c r="K20" s="36">
        <v>45698</v>
      </c>
      <c r="L20" s="6"/>
      <c r="M20" s="6">
        <v>1</v>
      </c>
      <c r="N20" s="37">
        <v>134.2267</v>
      </c>
    </row>
    <row r="21" ht="16" customHeight="1" spans="2:14" x14ac:dyDescent="0.25">
      <c r="B21" s="5" t="s">
        <v>24</v>
      </c>
      <c r="C21" s="6" t="str">
        <f t="array" ref="C21">_xlfn.XLOOKUP(Table4[[#This Row],[Account]],Table25[[#All],[Account]],Table25[[#All],[Account Type2]])</f>
        <v>Roth IRA</v>
      </c>
      <c r="D21" s="6" t="str">
        <f t="array" ref="D21">_xlfn.XLOOKUP(Table4[[#This Row],[Account]],Table25[[#All],[Account]],Table25[[#All],[Owner]])</f>
        <v>Shaun</v>
      </c>
      <c r="E21" s="6" t="s">
        <v>93</v>
      </c>
      <c r="F21" s="6" t="s">
        <v>96</v>
      </c>
      <c r="G21" s="33" t="str">
        <f t="array" ref="G21">_xlfn.XLOOKUP(Table4[[#This Row],[Symbol]],Table36[[#All],[Symbol]],Table36[[#All],[Security Description]])</f>
        <v>AIRBNB INC COM CL A</v>
      </c>
      <c r="H21" s="39">
        <v>44365</v>
      </c>
      <c r="I21" s="6">
        <v>1</v>
      </c>
      <c r="J21" s="37">
        <v>152.8</v>
      </c>
      <c r="K21" s="36"/>
      <c r="L21" s="6"/>
      <c r="M21" s="6"/>
      <c r="N21" s="37" t="s">
        <v>94</v>
      </c>
    </row>
    <row r="22" ht="16" customHeight="1" spans="2:14" x14ac:dyDescent="0.25">
      <c r="B22" s="5" t="s">
        <v>24</v>
      </c>
      <c r="C22" s="6" t="str">
        <f t="array" ref="C22">_xlfn.XLOOKUP(Table4[[#This Row],[Account]],Table25[[#All],[Account]],Table25[[#All],[Account Type2]])</f>
        <v>Roth IRA</v>
      </c>
      <c r="D22" s="6" t="str">
        <f t="array" ref="D22">_xlfn.XLOOKUP(Table4[[#This Row],[Account]],Table25[[#All],[Account]],Table25[[#All],[Owner]])</f>
        <v>Shaun</v>
      </c>
      <c r="E22" s="6" t="s">
        <v>91</v>
      </c>
      <c r="F22" s="6" t="s">
        <v>96</v>
      </c>
      <c r="G22" s="33" t="str">
        <f t="array" ref="G22">_xlfn.XLOOKUP(Table4[[#This Row],[Symbol]],Table36[[#All],[Symbol]],Table36[[#All],[Security Description]])</f>
        <v>AIRBNB INC COM CL A</v>
      </c>
      <c r="H22" s="39">
        <v>44378</v>
      </c>
      <c r="I22" s="6">
        <v>1</v>
      </c>
      <c r="J22" s="37">
        <v>152.4</v>
      </c>
      <c r="K22" s="36">
        <v>45698</v>
      </c>
      <c r="L22" s="6"/>
      <c r="M22" s="6">
        <v>1</v>
      </c>
      <c r="N22" s="37">
        <v>134.2267</v>
      </c>
    </row>
    <row r="23" ht="16" customHeight="1" spans="2:14" x14ac:dyDescent="0.25">
      <c r="B23" s="5" t="s">
        <v>24</v>
      </c>
      <c r="C23" s="6" t="str">
        <f t="array" ref="C23">_xlfn.XLOOKUP(Table4[[#This Row],[Account]],Table25[[#All],[Account]],Table25[[#All],[Account Type2]])</f>
        <v>Roth IRA</v>
      </c>
      <c r="D23" s="6" t="str">
        <f t="array" ref="D23">_xlfn.XLOOKUP(Table4[[#This Row],[Account]],Table25[[#All],[Account]],Table25[[#All],[Owner]])</f>
        <v>Shaun</v>
      </c>
      <c r="E23" s="6" t="s">
        <v>93</v>
      </c>
      <c r="F23" s="6" t="s">
        <v>96</v>
      </c>
      <c r="G23" s="33" t="str">
        <f t="array" ref="G23">_xlfn.XLOOKUP(Table4[[#This Row],[Symbol]],Table36[[#All],[Symbol]],Table36[[#All],[Security Description]])</f>
        <v>AIRBNB INC COM CL A</v>
      </c>
      <c r="H23" s="39">
        <v>44722</v>
      </c>
      <c r="I23" s="6">
        <v>1</v>
      </c>
      <c r="J23" s="37">
        <v>109.446667</v>
      </c>
      <c r="K23" s="36"/>
      <c r="L23" s="6"/>
      <c r="M23" s="6"/>
      <c r="N23" s="37" t="s">
        <v>94</v>
      </c>
    </row>
    <row r="24" ht="16" customHeight="1" spans="2:14" x14ac:dyDescent="0.25">
      <c r="B24" s="5" t="s">
        <v>24</v>
      </c>
      <c r="C24" s="6" t="str">
        <f t="array" ref="C24">_xlfn.XLOOKUP(Table4[[#This Row],[Account]],Table25[[#All],[Account]],Table25[[#All],[Account Type2]])</f>
        <v>Roth IRA</v>
      </c>
      <c r="D24" s="6" t="str">
        <f t="array" ref="D24">_xlfn.XLOOKUP(Table4[[#This Row],[Account]],Table25[[#All],[Account]],Table25[[#All],[Owner]])</f>
        <v>Shaun</v>
      </c>
      <c r="E24" s="6" t="s">
        <v>91</v>
      </c>
      <c r="F24" s="6" t="s">
        <v>96</v>
      </c>
      <c r="G24" s="33" t="str">
        <f t="array" ref="G24">_xlfn.XLOOKUP(Table4[[#This Row],[Symbol]],Table36[[#All],[Symbol]],Table36[[#All],[Security Description]])</f>
        <v>AIRBNB INC COM CL A</v>
      </c>
      <c r="H24" s="39">
        <v>44722</v>
      </c>
      <c r="I24" s="6">
        <v>1</v>
      </c>
      <c r="J24" s="37">
        <v>109.446667</v>
      </c>
      <c r="K24" s="36">
        <v>45698</v>
      </c>
      <c r="L24" s="6"/>
      <c r="M24" s="6">
        <v>1</v>
      </c>
      <c r="N24" s="37">
        <v>134.2267</v>
      </c>
    </row>
    <row r="25" ht="16" customHeight="1" spans="2:14" x14ac:dyDescent="0.25">
      <c r="B25" s="5" t="s">
        <v>24</v>
      </c>
      <c r="C25" s="6" t="str">
        <f t="array" ref="C25">_xlfn.XLOOKUP(Table4[[#This Row],[Account]],Table25[[#All],[Account]],Table25[[#All],[Account Type2]])</f>
        <v>Roth IRA</v>
      </c>
      <c r="D25" s="6" t="str">
        <f t="array" ref="D25">_xlfn.XLOOKUP(Table4[[#This Row],[Account]],Table25[[#All],[Account]],Table25[[#All],[Owner]])</f>
        <v>Shaun</v>
      </c>
      <c r="E25" s="6" t="s">
        <v>93</v>
      </c>
      <c r="F25" s="6" t="s">
        <v>96</v>
      </c>
      <c r="G25" s="33" t="str">
        <f t="array" ref="G25">_xlfn.XLOOKUP(Table4[[#This Row],[Symbol]],Table36[[#All],[Symbol]],Table36[[#All],[Security Description]])</f>
        <v>AIRBNB INC COM CL A</v>
      </c>
      <c r="H25" s="39">
        <v>44798</v>
      </c>
      <c r="I25" s="6">
        <v>1</v>
      </c>
      <c r="J25" s="37">
        <v>116.26</v>
      </c>
      <c r="K25" s="36"/>
      <c r="L25" s="6"/>
      <c r="M25" s="6"/>
      <c r="N25" s="37" t="s">
        <v>94</v>
      </c>
    </row>
    <row r="26" ht="16" customHeight="1" spans="2:14" x14ac:dyDescent="0.25">
      <c r="B26" s="5" t="s">
        <v>24</v>
      </c>
      <c r="C26" s="6" t="str">
        <f t="array" ref="C26">_xlfn.XLOOKUP(Table4[[#This Row],[Account]],Table25[[#All],[Account]],Table25[[#All],[Account Type2]])</f>
        <v>Roth IRA</v>
      </c>
      <c r="D26" s="6" t="str">
        <f t="array" ref="D26">_xlfn.XLOOKUP(Table4[[#This Row],[Account]],Table25[[#All],[Account]],Table25[[#All],[Owner]])</f>
        <v>Shaun</v>
      </c>
      <c r="E26" s="6" t="s">
        <v>91</v>
      </c>
      <c r="F26" s="6" t="s">
        <v>96</v>
      </c>
      <c r="G26" s="33" t="str">
        <f t="array" ref="G26">_xlfn.XLOOKUP(Table4[[#This Row],[Symbol]],Table36[[#All],[Symbol]],Table36[[#All],[Security Description]])</f>
        <v>AIRBNB INC COM CL A</v>
      </c>
      <c r="H26" s="39">
        <v>44991</v>
      </c>
      <c r="I26" s="6">
        <v>1</v>
      </c>
      <c r="J26" s="37">
        <v>126.81</v>
      </c>
      <c r="K26" s="36">
        <v>45698</v>
      </c>
      <c r="L26" s="6"/>
      <c r="M26" s="6">
        <v>1</v>
      </c>
      <c r="N26" s="37">
        <v>134.2267</v>
      </c>
    </row>
    <row r="27" ht="16" customHeight="1" spans="2:14" x14ac:dyDescent="0.25">
      <c r="B27" s="5" t="s">
        <v>24</v>
      </c>
      <c r="C27" s="6" t="str">
        <f t="array" ref="C27">_xlfn.XLOOKUP(Table4[[#This Row],[Account]],Table25[[#All],[Account]],Table25[[#All],[Account Type2]])</f>
        <v>Roth IRA</v>
      </c>
      <c r="D27" s="6" t="str">
        <f t="array" ref="D27">_xlfn.XLOOKUP(Table4[[#This Row],[Account]],Table25[[#All],[Account]],Table25[[#All],[Owner]])</f>
        <v>Shaun</v>
      </c>
      <c r="E27" s="6" t="s">
        <v>93</v>
      </c>
      <c r="F27" s="6" t="s">
        <v>96</v>
      </c>
      <c r="G27" s="33" t="str">
        <f t="array" ref="G27">_xlfn.XLOOKUP(Table4[[#This Row],[Symbol]],Table36[[#All],[Symbol]],Table36[[#All],[Security Description]])</f>
        <v>AIRBNB INC COM CL A</v>
      </c>
      <c r="H27" s="39">
        <v>45019</v>
      </c>
      <c r="I27" s="6">
        <v>1</v>
      </c>
      <c r="J27" s="37">
        <v>120.21</v>
      </c>
      <c r="K27" s="36"/>
      <c r="L27" s="6"/>
      <c r="M27" s="6"/>
      <c r="N27" s="37" t="s">
        <v>94</v>
      </c>
    </row>
    <row r="28" ht="16" customHeight="1" spans="2:14" x14ac:dyDescent="0.25">
      <c r="B28" s="5" t="s">
        <v>24</v>
      </c>
      <c r="C28" s="6" t="str">
        <f t="array" ref="C28">_xlfn.XLOOKUP(Table4[[#This Row],[Account]],Table25[[#All],[Account]],Table25[[#All],[Account Type2]])</f>
        <v>Roth IRA</v>
      </c>
      <c r="D28" s="6" t="str">
        <f t="array" ref="D28">_xlfn.XLOOKUP(Table4[[#This Row],[Account]],Table25[[#All],[Account]],Table25[[#All],[Owner]])</f>
        <v>Shaun</v>
      </c>
      <c r="E28" s="6" t="s">
        <v>93</v>
      </c>
      <c r="F28" s="6" t="s">
        <v>96</v>
      </c>
      <c r="G28" s="33" t="str">
        <f t="array" ref="G28">_xlfn.XLOOKUP(Table4[[#This Row],[Symbol]],Table36[[#All],[Symbol]],Table36[[#All],[Security Description]])</f>
        <v>AIRBNB INC COM CL A</v>
      </c>
      <c r="H28" s="39">
        <v>45022</v>
      </c>
      <c r="I28" s="6">
        <v>1</v>
      </c>
      <c r="J28" s="37">
        <v>117.45</v>
      </c>
      <c r="K28" s="36"/>
      <c r="L28" s="6"/>
      <c r="M28" s="6"/>
      <c r="N28" s="37" t="s">
        <v>94</v>
      </c>
    </row>
    <row r="29" ht="16" customHeight="1" spans="2:14" x14ac:dyDescent="0.25">
      <c r="B29" s="5" t="s">
        <v>24</v>
      </c>
      <c r="C29" s="6" t="str">
        <f t="array" ref="C29">_xlfn.XLOOKUP(Table4[[#This Row],[Account]],Table25[[#All],[Account]],Table25[[#All],[Account Type2]])</f>
        <v>Roth IRA</v>
      </c>
      <c r="D29" s="6" t="str">
        <f t="array" ref="D29">_xlfn.XLOOKUP(Table4[[#This Row],[Account]],Table25[[#All],[Account]],Table25[[#All],[Owner]])</f>
        <v>Shaun</v>
      </c>
      <c r="E29" s="6" t="s">
        <v>93</v>
      </c>
      <c r="F29" s="6" t="s">
        <v>96</v>
      </c>
      <c r="G29" s="33" t="str">
        <f t="array" ref="G29">_xlfn.XLOOKUP(Table4[[#This Row],[Symbol]],Table36[[#All],[Symbol]],Table36[[#All],[Security Description]])</f>
        <v>AIRBNB INC COM CL A</v>
      </c>
      <c r="H29" s="39">
        <v>45201</v>
      </c>
      <c r="I29" s="6">
        <v>1</v>
      </c>
      <c r="J29" s="37">
        <v>136.33</v>
      </c>
      <c r="K29" s="36"/>
      <c r="L29" s="6"/>
      <c r="M29" s="6"/>
      <c r="N29" s="37" t="s">
        <v>94</v>
      </c>
    </row>
    <row r="30" ht="16" customHeight="1" spans="2:14" x14ac:dyDescent="0.25">
      <c r="B30" s="5" t="s">
        <v>24</v>
      </c>
      <c r="C30" s="6" t="str">
        <f t="array" ref="C30">_xlfn.XLOOKUP(Table4[[#This Row],[Account]],Table25[[#All],[Account]],Table25[[#All],[Account Type2]])</f>
        <v>Roth IRA</v>
      </c>
      <c r="D30" s="6" t="str">
        <f t="array" ref="D30">_xlfn.XLOOKUP(Table4[[#This Row],[Account]],Table25[[#All],[Account]],Table25[[#All],[Owner]])</f>
        <v>Shaun</v>
      </c>
      <c r="E30" s="6" t="s">
        <v>93</v>
      </c>
      <c r="F30" s="6" t="s">
        <v>96</v>
      </c>
      <c r="G30" s="33" t="str">
        <f t="array" ref="G30">_xlfn.XLOOKUP(Table4[[#This Row],[Symbol]],Table36[[#All],[Symbol]],Table36[[#All],[Security Description]])</f>
        <v>AIRBNB INC COM CL A</v>
      </c>
      <c r="H30" s="40">
        <v>45261</v>
      </c>
      <c r="I30" s="6">
        <v>1</v>
      </c>
      <c r="J30" s="37">
        <v>132.45</v>
      </c>
      <c r="K30" s="36"/>
      <c r="L30" s="6"/>
      <c r="M30" s="6"/>
      <c r="N30" s="37" t="s">
        <v>94</v>
      </c>
    </row>
    <row r="31" ht="16" customHeight="1" spans="2:14" x14ac:dyDescent="0.25">
      <c r="B31" s="5" t="s">
        <v>24</v>
      </c>
      <c r="C31" s="6" t="str">
        <f t="array" ref="C31">_xlfn.XLOOKUP(Table4[[#This Row],[Account]],Table25[[#All],[Account]],Table25[[#All],[Account Type2]])</f>
        <v>Roth IRA</v>
      </c>
      <c r="D31" s="6" t="str">
        <f t="array" ref="D31">_xlfn.XLOOKUP(Table4[[#This Row],[Account]],Table25[[#All],[Account]],Table25[[#All],[Owner]])</f>
        <v>Shaun</v>
      </c>
      <c r="E31" s="6" t="s">
        <v>91</v>
      </c>
      <c r="F31" s="41" t="s">
        <v>97</v>
      </c>
      <c r="G31" s="33" t="str">
        <f t="array" ref="G31">_xlfn.XLOOKUP(Table4[[#This Row],[Symbol]],Table36[[#All],[Symbol]],Table36[[#All],[Security Description]])</f>
        <v>AMAZON.COM INC</v>
      </c>
      <c r="H31" s="39">
        <v>41715</v>
      </c>
      <c r="I31" s="6">
        <v>1</v>
      </c>
      <c r="J31" s="37">
        <v>383.54</v>
      </c>
      <c r="K31" s="36">
        <v>43143</v>
      </c>
      <c r="L31" s="6"/>
      <c r="M31" s="42">
        <v>1</v>
      </c>
      <c r="N31" s="37">
        <v>1379.58</v>
      </c>
    </row>
    <row r="32" ht="16" customHeight="1" spans="2:14" x14ac:dyDescent="0.25">
      <c r="B32" s="5" t="s">
        <v>24</v>
      </c>
      <c r="C32" s="6" t="str">
        <f t="array" ref="C32">_xlfn.XLOOKUP(Table4[[#This Row],[Account]],Table25[[#All],[Account]],Table25[[#All],[Account Type2]])</f>
        <v>Roth IRA</v>
      </c>
      <c r="D32" s="6" t="str">
        <f t="array" ref="D32">_xlfn.XLOOKUP(Table4[[#This Row],[Account]],Table25[[#All],[Account]],Table25[[#All],[Owner]])</f>
        <v>Shaun</v>
      </c>
      <c r="E32" s="6" t="s">
        <v>93</v>
      </c>
      <c r="F32" s="41" t="s">
        <v>97</v>
      </c>
      <c r="G32" s="33" t="str">
        <f t="array" ref="G32">_xlfn.XLOOKUP(Table4[[#This Row],[Symbol]],Table36[[#All],[Symbol]],Table36[[#All],[Security Description]])</f>
        <v>AMAZON.COM INC</v>
      </c>
      <c r="H32" s="39">
        <v>41857</v>
      </c>
      <c r="I32" s="6">
        <v>1</v>
      </c>
      <c r="J32" s="37">
        <v>314.8</v>
      </c>
      <c r="K32" s="36"/>
      <c r="L32" s="6"/>
      <c r="M32" s="42"/>
      <c r="N32" s="37" t="s">
        <v>94</v>
      </c>
    </row>
    <row r="33" ht="16" customHeight="1" spans="2:14" x14ac:dyDescent="0.25">
      <c r="B33" s="5" t="s">
        <v>24</v>
      </c>
      <c r="C33" s="6" t="str">
        <f t="array" ref="C33">_xlfn.XLOOKUP(Table4[[#This Row],[Account]],Table25[[#All],[Account]],Table25[[#All],[Account Type2]])</f>
        <v>Roth IRA</v>
      </c>
      <c r="D33" s="6" t="str">
        <f t="array" ref="D33">_xlfn.XLOOKUP(Table4[[#This Row],[Account]],Table25[[#All],[Account]],Table25[[#All],[Owner]])</f>
        <v>Shaun</v>
      </c>
      <c r="E33" s="6" t="s">
        <v>91</v>
      </c>
      <c r="F33" s="41" t="s">
        <v>97</v>
      </c>
      <c r="G33" s="33" t="str">
        <f t="array" ref="G33">_xlfn.XLOOKUP(Table4[[#This Row],[Symbol]],Table36[[#All],[Symbol]],Table36[[#All],[Security Description]])</f>
        <v>AMAZON.COM INC</v>
      </c>
      <c r="H33" s="39">
        <v>41857</v>
      </c>
      <c r="I33" s="6">
        <v>1</v>
      </c>
      <c r="J33" s="37">
        <v>314.8</v>
      </c>
      <c r="K33" s="36">
        <v>44074</v>
      </c>
      <c r="L33" s="6"/>
      <c r="M33" s="42">
        <v>1</v>
      </c>
      <c r="N33" s="37">
        <v>3476.16</v>
      </c>
    </row>
    <row r="34" ht="16" customHeight="1" spans="2:14" x14ac:dyDescent="0.25">
      <c r="B34" s="5" t="s">
        <v>24</v>
      </c>
      <c r="C34" s="6" t="str">
        <f t="array" ref="C34">_xlfn.XLOOKUP(Table4[[#This Row],[Account]],Table25[[#All],[Account]],Table25[[#All],[Account Type2]])</f>
        <v>Roth IRA</v>
      </c>
      <c r="D34" s="6" t="str">
        <f t="array" ref="D34">_xlfn.XLOOKUP(Table4[[#This Row],[Account]],Table25[[#All],[Account]],Table25[[#All],[Owner]])</f>
        <v>Shaun</v>
      </c>
      <c r="E34" s="6" t="s">
        <v>93</v>
      </c>
      <c r="F34" s="41" t="s">
        <v>97</v>
      </c>
      <c r="G34" s="33" t="str">
        <f t="array" ref="G34">_xlfn.XLOOKUP(Table4[[#This Row],[Symbol]],Table36[[#All],[Symbol]],Table36[[#All],[Security Description]])</f>
        <v>AMAZON.COM INC</v>
      </c>
      <c r="H34" s="39">
        <v>41988</v>
      </c>
      <c r="I34" s="6">
        <v>6.65</v>
      </c>
      <c r="J34" s="37">
        <v>307.81</v>
      </c>
      <c r="K34" s="36"/>
      <c r="L34" s="6"/>
      <c r="M34" s="42"/>
      <c r="N34" s="37" t="s">
        <v>94</v>
      </c>
    </row>
    <row r="35" ht="16" customHeight="1" spans="2:14" x14ac:dyDescent="0.25">
      <c r="B35" s="5" t="s">
        <v>24</v>
      </c>
      <c r="C35" s="6" t="str">
        <f t="array" ref="C35">_xlfn.XLOOKUP(Table4[[#This Row],[Account]],Table25[[#All],[Account]],Table25[[#All],[Account Type2]])</f>
        <v>Roth IRA</v>
      </c>
      <c r="D35" s="6" t="str">
        <f t="array" ref="D35">_xlfn.XLOOKUP(Table4[[#This Row],[Account]],Table25[[#All],[Account]],Table25[[#All],[Owner]])</f>
        <v>Shaun</v>
      </c>
      <c r="E35" s="6" t="s">
        <v>91</v>
      </c>
      <c r="F35" s="41" t="s">
        <v>97</v>
      </c>
      <c r="G35" s="33" t="str">
        <f t="array" ref="G35">_xlfn.XLOOKUP(Table4[[#This Row],[Symbol]],Table36[[#All],[Symbol]],Table36[[#All],[Security Description]])</f>
        <v>AMAZON.COM INC</v>
      </c>
      <c r="H35" s="39">
        <v>41988</v>
      </c>
      <c r="I35" s="6">
        <v>0.1</v>
      </c>
      <c r="J35" s="37">
        <v>307.81</v>
      </c>
      <c r="K35" s="36">
        <v>45148</v>
      </c>
      <c r="L35" s="6" t="s">
        <v>95</v>
      </c>
      <c r="M35" s="42">
        <v>2</v>
      </c>
      <c r="N35" s="37">
        <v>138.56</v>
      </c>
    </row>
    <row r="36" ht="16" customHeight="1" spans="2:14" x14ac:dyDescent="0.25">
      <c r="B36" s="5" t="s">
        <v>24</v>
      </c>
      <c r="C36" s="6" t="str">
        <f t="array" ref="C36">_xlfn.XLOOKUP(Table4[[#This Row],[Account]],Table25[[#All],[Account]],Table25[[#All],[Account Type2]])</f>
        <v>Roth IRA</v>
      </c>
      <c r="D36" s="6" t="str">
        <f t="array" ref="D36">_xlfn.XLOOKUP(Table4[[#This Row],[Account]],Table25[[#All],[Account]],Table25[[#All],[Owner]])</f>
        <v>Shaun</v>
      </c>
      <c r="E36" s="6" t="s">
        <v>91</v>
      </c>
      <c r="F36" s="41" t="s">
        <v>97</v>
      </c>
      <c r="G36" s="33" t="str">
        <f t="array" ref="G36">_xlfn.XLOOKUP(Table4[[#This Row],[Symbol]],Table36[[#All],[Symbol]],Table36[[#All],[Security Description]])</f>
        <v>AMAZON.COM INC</v>
      </c>
      <c r="H36" s="39">
        <v>41988</v>
      </c>
      <c r="I36" s="6">
        <v>0.25</v>
      </c>
      <c r="J36" s="37">
        <v>307.81</v>
      </c>
      <c r="K36" s="36">
        <v>45608</v>
      </c>
      <c r="L36" s="6" t="s">
        <v>95</v>
      </c>
      <c r="M36" s="42">
        <v>5</v>
      </c>
      <c r="N36" s="37">
        <v>206.55</v>
      </c>
    </row>
    <row r="37" ht="16" customHeight="1" spans="2:14" x14ac:dyDescent="0.25">
      <c r="B37" s="5" t="s">
        <v>24</v>
      </c>
      <c r="C37" s="6" t="str">
        <f t="array" ref="C37">_xlfn.XLOOKUP(Table4[[#This Row],[Account]],Table25[[#All],[Account]],Table25[[#All],[Account Type2]])</f>
        <v>Roth IRA</v>
      </c>
      <c r="D37" s="6" t="str">
        <f t="array" ref="D37">_xlfn.XLOOKUP(Table4[[#This Row],[Account]],Table25[[#All],[Account]],Table25[[#All],[Owner]])</f>
        <v>Shaun</v>
      </c>
      <c r="E37" s="6" t="s">
        <v>91</v>
      </c>
      <c r="F37" s="41" t="s">
        <v>97</v>
      </c>
      <c r="G37" s="33" t="str">
        <f t="array" ref="G37">_xlfn.XLOOKUP(Table4[[#This Row],[Symbol]],Table36[[#All],[Symbol]],Table36[[#All],[Security Description]])</f>
        <v>AMAZON.COM INC</v>
      </c>
      <c r="H37" s="39">
        <v>42354</v>
      </c>
      <c r="I37" s="6">
        <v>0.1</v>
      </c>
      <c r="J37" s="37">
        <v>667.405</v>
      </c>
      <c r="K37" s="36">
        <v>44074</v>
      </c>
      <c r="L37" s="6"/>
      <c r="M37" s="42">
        <v>2</v>
      </c>
      <c r="N37" s="37">
        <v>3476.15</v>
      </c>
    </row>
    <row r="38" ht="16" customHeight="1" spans="2:14" x14ac:dyDescent="0.25">
      <c r="B38" s="5" t="s">
        <v>24</v>
      </c>
      <c r="C38" s="6" t="str">
        <f t="array" ref="C38">_xlfn.XLOOKUP(Table4[[#This Row],[Account]],Table25[[#All],[Account]],Table25[[#All],[Account Type2]])</f>
        <v>Roth IRA</v>
      </c>
      <c r="D38" s="6" t="str">
        <f t="array" ref="D38">_xlfn.XLOOKUP(Table4[[#This Row],[Account]],Table25[[#All],[Account]],Table25[[#All],[Owner]])</f>
        <v>Shaun</v>
      </c>
      <c r="E38" s="6" t="s">
        <v>91</v>
      </c>
      <c r="F38" s="41" t="s">
        <v>97</v>
      </c>
      <c r="G38" s="33" t="str">
        <f t="array" ref="G38">_xlfn.XLOOKUP(Table4[[#This Row],[Symbol]],Table36[[#All],[Symbol]],Table36[[#All],[Security Description]])</f>
        <v>AMAZON.COM INC</v>
      </c>
      <c r="H38" s="39">
        <v>43837</v>
      </c>
      <c r="I38" s="6">
        <v>0.05</v>
      </c>
      <c r="J38" s="37">
        <v>1909.75</v>
      </c>
      <c r="K38" s="36">
        <v>44074</v>
      </c>
      <c r="L38" s="6"/>
      <c r="M38" s="42">
        <v>1</v>
      </c>
      <c r="N38" s="37">
        <v>3476.15</v>
      </c>
    </row>
    <row r="39" ht="16" customHeight="1" spans="2:14" x14ac:dyDescent="0.25">
      <c r="B39" s="5" t="s">
        <v>24</v>
      </c>
      <c r="C39" s="6" t="str">
        <f t="array" ref="C39">_xlfn.XLOOKUP(Table4[[#This Row],[Account]],Table25[[#All],[Account]],Table25[[#All],[Account Type2]])</f>
        <v>Roth IRA</v>
      </c>
      <c r="D39" s="6" t="str">
        <f t="array" ref="D39">_xlfn.XLOOKUP(Table4[[#This Row],[Account]],Table25[[#All],[Account]],Table25[[#All],[Owner]])</f>
        <v>Shaun</v>
      </c>
      <c r="E39" s="6" t="s">
        <v>93</v>
      </c>
      <c r="F39" s="41" t="s">
        <v>97</v>
      </c>
      <c r="G39" s="33" t="str">
        <f t="array" ref="G39">_xlfn.XLOOKUP(Table4[[#This Row],[Symbol]],Table36[[#All],[Symbol]],Table36[[#All],[Security Description]])</f>
        <v>AMAZON.COM INC</v>
      </c>
      <c r="H39" s="39">
        <v>44019</v>
      </c>
      <c r="I39" s="6">
        <v>4</v>
      </c>
      <c r="J39" s="37">
        <v>3041.92</v>
      </c>
      <c r="K39" s="36"/>
      <c r="L39" s="6"/>
      <c r="M39" s="42"/>
      <c r="N39" s="37" t="s">
        <v>94</v>
      </c>
    </row>
    <row r="40" ht="16" customHeight="1" spans="2:14" x14ac:dyDescent="0.25">
      <c r="B40" s="5" t="s">
        <v>24</v>
      </c>
      <c r="C40" s="6" t="str">
        <f t="array" ref="C40">_xlfn.XLOOKUP(Table4[[#This Row],[Account]],Table25[[#All],[Account]],Table25[[#All],[Account Type2]])</f>
        <v>Roth IRA</v>
      </c>
      <c r="D40" s="6" t="str">
        <f t="array" ref="D40">_xlfn.XLOOKUP(Table4[[#This Row],[Account]],Table25[[#All],[Account]],Table25[[#All],[Owner]])</f>
        <v>Shaun</v>
      </c>
      <c r="E40" s="6" t="s">
        <v>93</v>
      </c>
      <c r="F40" s="41" t="s">
        <v>97</v>
      </c>
      <c r="G40" s="33" t="str">
        <f t="array" ref="G40">_xlfn.XLOOKUP(Table4[[#This Row],[Symbol]],Table36[[#All],[Symbol]],Table36[[#All],[Security Description]])</f>
        <v>AMAZON.COM INC</v>
      </c>
      <c r="H40" s="39">
        <v>44370</v>
      </c>
      <c r="I40" s="6">
        <v>0.028000000000000004</v>
      </c>
      <c r="J40" s="37">
        <v>3507.14</v>
      </c>
      <c r="K40" s="36"/>
      <c r="L40" s="6"/>
      <c r="M40" s="42"/>
      <c r="N40" s="37" t="s">
        <v>94</v>
      </c>
    </row>
    <row r="41" ht="16" customHeight="1" spans="2:14" x14ac:dyDescent="0.25">
      <c r="B41" s="5" t="s">
        <v>24</v>
      </c>
      <c r="C41" s="6" t="str">
        <f t="array" ref="C41">_xlfn.XLOOKUP(Table4[[#This Row],[Account]],Table25[[#All],[Account]],Table25[[#All],[Account Type2]])</f>
        <v>Roth IRA</v>
      </c>
      <c r="D41" s="6" t="str">
        <f t="array" ref="D41">_xlfn.XLOOKUP(Table4[[#This Row],[Account]],Table25[[#All],[Account]],Table25[[#All],[Owner]])</f>
        <v>Shaun</v>
      </c>
      <c r="E41" s="6" t="s">
        <v>93</v>
      </c>
      <c r="F41" s="41" t="s">
        <v>97</v>
      </c>
      <c r="G41" s="33" t="str">
        <f t="array" ref="G41">_xlfn.XLOOKUP(Table4[[#This Row],[Symbol]],Table36[[#All],[Symbol]],Table36[[#All],[Security Description]])</f>
        <v>AMAZON.COM INC</v>
      </c>
      <c r="H41" s="40">
        <v>45293</v>
      </c>
      <c r="I41" s="6">
        <v>0.167</v>
      </c>
      <c r="J41" s="37">
        <v>149.1</v>
      </c>
      <c r="K41" s="36"/>
      <c r="L41" s="6"/>
      <c r="M41" s="42"/>
      <c r="N41" s="37" t="s">
        <v>94</v>
      </c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B2:G18"/>
  <sheetViews>
    <sheetView workbookViewId="0" zoomScale="100" zoomScaleNormal="100">
      <selection activeCell="H16" sqref="H16"/>
    </sheetView>
  </sheetViews>
  <sheetFormatPr defaultRowHeight="16" outlineLevelRow="0" outlineLevelCol="0" x14ac:dyDescent="0.2" defaultColWidth="10.83203125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ht="16" customHeight="1" spans="2:7" x14ac:dyDescent="0.25">
      <c r="B2" s="2" t="s">
        <v>45</v>
      </c>
      <c r="C2" s="2" t="s">
        <v>46</v>
      </c>
      <c r="D2" s="2" t="s">
        <v>47</v>
      </c>
      <c r="F2" s="2" t="s">
        <v>48</v>
      </c>
      <c r="G2" s="18">
        <v>200000</v>
      </c>
    </row>
    <row r="3" ht="16" customHeight="1" spans="2:7" x14ac:dyDescent="0.25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ht="16" customHeight="1" spans="2:7" x14ac:dyDescent="0.25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ht="16" customHeight="1" spans="2:7" x14ac:dyDescent="0.25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ht="16" customHeight="1" spans="2:4" x14ac:dyDescent="0.25">
      <c r="B6" s="2" t="s">
        <v>48</v>
      </c>
      <c r="C6" s="2" t="s">
        <v>50</v>
      </c>
      <c r="D6" s="19">
        <v>5000</v>
      </c>
    </row>
    <row r="7" ht="16" customHeight="1" spans="2:4" x14ac:dyDescent="0.25">
      <c r="B7" s="2" t="s">
        <v>48</v>
      </c>
      <c r="C7" s="2" t="s">
        <v>56</v>
      </c>
      <c r="D7" s="19">
        <f>G2-SUM(D5:D6)</f>
        <v>141000</v>
      </c>
    </row>
    <row r="8" ht="16" customHeight="1" spans="2:4" x14ac:dyDescent="0.25">
      <c r="B8" s="2" t="s">
        <v>56</v>
      </c>
      <c r="C8" s="2" t="s">
        <v>57</v>
      </c>
      <c r="D8" s="19">
        <f>(250*G5)*12</f>
        <v>6000</v>
      </c>
    </row>
    <row r="9" ht="16" customHeight="1" spans="2:4" x14ac:dyDescent="0.25">
      <c r="B9" s="2" t="s">
        <v>56</v>
      </c>
      <c r="C9" s="2" t="s">
        <v>58</v>
      </c>
      <c r="D9" s="19">
        <v>10000</v>
      </c>
    </row>
    <row r="10" ht="16" customHeight="1" spans="2:4" x14ac:dyDescent="0.25">
      <c r="B10" s="2" t="s">
        <v>56</v>
      </c>
      <c r="C10" s="2" t="s">
        <v>59</v>
      </c>
      <c r="D10" s="19">
        <v>12000</v>
      </c>
    </row>
    <row r="11" ht="16" customHeight="1" spans="2:4" x14ac:dyDescent="0.25">
      <c r="B11" s="2" t="s">
        <v>56</v>
      </c>
      <c r="C11" s="2" t="s">
        <v>53</v>
      </c>
      <c r="D11" s="19">
        <f>D7-SUM(D8:D10,D12)</f>
        <v>108000</v>
      </c>
    </row>
    <row r="12" ht="16" customHeight="1" spans="2:4" x14ac:dyDescent="0.25">
      <c r="B12" s="2" t="s">
        <v>56</v>
      </c>
      <c r="C12" s="2" t="s">
        <v>60</v>
      </c>
      <c r="D12" s="2">
        <v>5000</v>
      </c>
    </row>
    <row r="15" ht="16" customHeight="1" spans="4:4" x14ac:dyDescent="0.25">
      <c r="D15" s="19"/>
    </row>
    <row r="16" ht="16" customHeight="1" spans="4:4" x14ac:dyDescent="0.25">
      <c r="D16" s="19"/>
    </row>
    <row r="17" ht="16" customHeight="1" spans="4:4" x14ac:dyDescent="0.25">
      <c r="D17" s="19"/>
    </row>
    <row r="18" ht="16" customHeight="1" spans="4:4" x14ac:dyDescent="0.25">
      <c r="D18" s="19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2:G23"/>
  <sheetViews>
    <sheetView workbookViewId="0" zoomScale="156" zoomScaleNormal="100">
      <selection activeCell="D10" sqref="D10"/>
    </sheetView>
  </sheetViews>
  <sheetFormatPr defaultRowHeight="15" outlineLevelRow="0" outlineLevelCol="0" x14ac:dyDescent="0.2"/>
  <cols>
    <col min="2" max="2" width="21.1640625" style="43" customWidth="1"/>
    <col min="3" max="3" width="23.83203125" customWidth="1"/>
    <col min="4" max="4" width="24.1640625" customWidth="1"/>
    <col min="5" max="5" width="19" customWidth="1"/>
    <col min="6" max="7" width="10.83203125" style="43" customWidth="1"/>
  </cols>
  <sheetData>
    <row r="2" spans="3:4" x14ac:dyDescent="0.25">
      <c r="C2" s="44" t="s">
        <v>98</v>
      </c>
      <c r="D2" s="44"/>
    </row>
    <row r="3" ht="18" customHeight="1" spans="2:6" x14ac:dyDescent="0.25">
      <c r="B3" s="45" t="s">
        <v>99</v>
      </c>
      <c r="C3" s="21">
        <v>47908</v>
      </c>
      <c r="D3" s="46"/>
      <c r="F3" s="47"/>
    </row>
    <row r="4" ht="18" customHeight="1" spans="2:6" x14ac:dyDescent="0.25">
      <c r="B4" s="45" t="s">
        <v>100</v>
      </c>
      <c r="C4" s="21">
        <v>47939</v>
      </c>
      <c r="D4" s="45" t="s">
        <v>101</v>
      </c>
      <c r="F4" s="47"/>
    </row>
    <row r="5" ht="18" customHeight="1" spans="2:6" x14ac:dyDescent="0.25">
      <c r="B5" s="45" t="s">
        <v>102</v>
      </c>
      <c r="C5" t="s">
        <v>103</v>
      </c>
      <c r="D5" s="46"/>
      <c r="F5" s="47"/>
    </row>
    <row r="6" ht="18" customHeight="1" spans="2:6" x14ac:dyDescent="0.25">
      <c r="B6" s="45" t="s">
        <v>104</v>
      </c>
      <c r="C6" s="21">
        <v>28515</v>
      </c>
      <c r="D6" s="46"/>
      <c r="F6" s="47"/>
    </row>
    <row r="7" ht="18" customHeight="1" spans="2:6" x14ac:dyDescent="0.25">
      <c r="B7" s="45" t="s">
        <v>105</v>
      </c>
      <c r="C7" s="17">
        <v>0</v>
      </c>
      <c r="D7" s="46"/>
      <c r="F7" s="47"/>
    </row>
    <row r="8" spans="2:3" x14ac:dyDescent="0.25">
      <c r="B8" s="45" t="s">
        <v>106</v>
      </c>
      <c r="C8" s="17">
        <v>0</v>
      </c>
    </row>
    <row r="9" spans="2:3" x14ac:dyDescent="0.25">
      <c r="B9" s="48" t="s">
        <v>107</v>
      </c>
      <c r="C9" s="21">
        <v>27760</v>
      </c>
    </row>
    <row r="10" spans="1:7" x14ac:dyDescent="0.25">
      <c r="A10" s="49"/>
      <c r="B10" s="45" t="s">
        <v>108</v>
      </c>
      <c r="D10" s="45" t="s">
        <v>109</v>
      </c>
      <c r="E10" s="45" t="s">
        <v>110</v>
      </c>
      <c r="F10" s="50"/>
      <c r="G10" s="50"/>
    </row>
    <row r="11" spans="1:7" x14ac:dyDescent="0.25">
      <c r="A11" s="49"/>
      <c r="B11" s="45" t="s">
        <v>111</v>
      </c>
      <c r="D11" s="51">
        <v>660637.24</v>
      </c>
      <c r="E11" s="52">
        <v>0</v>
      </c>
      <c r="F11" s="50" t="s">
        <v>112</v>
      </c>
      <c r="G11" s="50" t="s">
        <v>113</v>
      </c>
    </row>
    <row r="12" ht="16" customHeight="1" spans="2:7" x14ac:dyDescent="0.25">
      <c r="B12" s="43" t="s">
        <v>114</v>
      </c>
      <c r="C12" s="49" t="s">
        <v>115</v>
      </c>
      <c r="D12" s="51">
        <v>3815.64</v>
      </c>
      <c r="E12" s="52">
        <v>0</v>
      </c>
      <c r="F12" s="50" t="s">
        <v>116</v>
      </c>
      <c r="G12" s="50"/>
    </row>
    <row r="13" spans="2:7" x14ac:dyDescent="0.25">
      <c r="B13" s="43" t="s">
        <v>117</v>
      </c>
      <c r="C13" s="49" t="s">
        <v>118</v>
      </c>
      <c r="D13" s="51">
        <v>5711.25</v>
      </c>
      <c r="E13" s="52">
        <v>0</v>
      </c>
      <c r="F13" s="50" t="s">
        <v>116</v>
      </c>
      <c r="G13" s="21">
        <v>47939</v>
      </c>
    </row>
    <row r="14" spans="2:7" x14ac:dyDescent="0.25">
      <c r="B14" s="43"/>
      <c r="C14" s="49" t="s">
        <v>119</v>
      </c>
      <c r="D14" s="51">
        <v>2727.65</v>
      </c>
      <c r="E14" s="52">
        <v>0</v>
      </c>
      <c r="F14" s="50" t="s">
        <v>116</v>
      </c>
      <c r="G14" s="53">
        <v>50406</v>
      </c>
    </row>
    <row r="15" ht="32" customHeight="1" spans="1:7" x14ac:dyDescent="0.25">
      <c r="A15" s="49"/>
      <c r="B15" s="43" t="s">
        <v>120</v>
      </c>
      <c r="C15" s="49" t="s">
        <v>115</v>
      </c>
      <c r="D15" s="51">
        <v>3576.77</v>
      </c>
      <c r="E15" s="51">
        <v>1948.65</v>
      </c>
      <c r="F15" s="50" t="s">
        <v>116</v>
      </c>
      <c r="G15" s="21">
        <v>47939</v>
      </c>
    </row>
    <row r="16" ht="48" customHeight="1" spans="2:7" x14ac:dyDescent="0.25">
      <c r="B16" s="54" t="s">
        <v>121</v>
      </c>
      <c r="C16" s="49" t="s">
        <v>118</v>
      </c>
      <c r="D16" s="51">
        <v>5472.46</v>
      </c>
      <c r="E16" s="51">
        <v>4333.99</v>
      </c>
      <c r="F16" s="50" t="s">
        <v>116</v>
      </c>
      <c r="G16" s="21">
        <v>47939</v>
      </c>
    </row>
    <row r="17" spans="2:7" x14ac:dyDescent="0.25">
      <c r="B17" s="54"/>
      <c r="C17" s="49" t="s">
        <v>119</v>
      </c>
      <c r="D17" s="51">
        <v>2488.86</v>
      </c>
      <c r="E17" s="51">
        <v>1350.39</v>
      </c>
      <c r="F17" s="50" t="s">
        <v>116</v>
      </c>
      <c r="G17" s="53">
        <v>50406</v>
      </c>
    </row>
    <row r="18" ht="32" customHeight="1" spans="2:7" x14ac:dyDescent="0.25">
      <c r="B18" s="43" t="s">
        <v>122</v>
      </c>
      <c r="C18" s="49" t="s">
        <v>115</v>
      </c>
      <c r="D18" s="51">
        <v>3497.16</v>
      </c>
      <c r="E18" s="51">
        <v>2622.87</v>
      </c>
      <c r="F18" s="50" t="s">
        <v>116</v>
      </c>
      <c r="G18" s="21">
        <v>47939</v>
      </c>
    </row>
    <row r="19" spans="2:7" x14ac:dyDescent="0.25">
      <c r="B19" s="43" t="s">
        <v>123</v>
      </c>
      <c r="C19" s="49" t="s">
        <v>118</v>
      </c>
      <c r="D19" s="49">
        <v>5392.97</v>
      </c>
      <c r="E19" s="49">
        <v>4790.63</v>
      </c>
      <c r="F19" s="50" t="s">
        <v>116</v>
      </c>
      <c r="G19" s="21">
        <v>47939</v>
      </c>
    </row>
    <row r="20" spans="2:7" x14ac:dyDescent="0.25">
      <c r="B20" s="43"/>
      <c r="C20" s="49" t="s">
        <v>119</v>
      </c>
      <c r="D20" s="51">
        <v>2409.37</v>
      </c>
      <c r="E20" s="51">
        <v>1807.03</v>
      </c>
      <c r="F20" s="50" t="s">
        <v>116</v>
      </c>
      <c r="G20" s="53">
        <v>50406</v>
      </c>
    </row>
    <row r="21" spans="2:7" x14ac:dyDescent="0.25">
      <c r="B21" s="43"/>
      <c r="C21" s="49"/>
      <c r="D21" s="51"/>
      <c r="E21" s="51"/>
      <c r="F21" s="50"/>
      <c r="G21" s="50"/>
    </row>
    <row r="22" spans="2:7" x14ac:dyDescent="0.25">
      <c r="B22" s="45" t="s">
        <v>124</v>
      </c>
      <c r="C22" s="49" t="s">
        <v>111</v>
      </c>
      <c r="D22" s="51">
        <v>28471.48</v>
      </c>
      <c r="E22" s="51">
        <v>0</v>
      </c>
      <c r="F22" s="50" t="s">
        <v>112</v>
      </c>
      <c r="G22" s="53">
        <v>48106</v>
      </c>
    </row>
    <row r="23" spans="3:7" x14ac:dyDescent="0.25">
      <c r="C23" s="49"/>
      <c r="D23" s="49"/>
      <c r="E23" s="49"/>
      <c r="F23" s="50"/>
      <c r="G23" s="50"/>
    </row>
  </sheetData>
  <mergeCells count="3">
    <mergeCell ref="B13:B14"/>
    <mergeCell ref="B16:B17"/>
    <mergeCell ref="B19:B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2026-03-31T03:04:34Z</dcterms:created>
  <dcterms:modified xsi:type="dcterms:W3CDTF">2026-05-01T11:43:07Z</dcterms:modified>
</cp:coreProperties>
</file>