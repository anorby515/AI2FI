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drewnorby/Documents/GitHub/AI2FI/user-profiles/andrew/private/"/>
    </mc:Choice>
  </mc:AlternateContent>
  <xr:revisionPtr revIDLastSave="0" documentId="13_ncr:1_{24998E46-23E1-7D48-B333-28C996D03240}" xr6:coauthVersionLast="47" xr6:coauthVersionMax="47" xr10:uidLastSave="{00000000-0000-0000-0000-000000000000}"/>
  <bookViews>
    <workbookView xWindow="14800" yWindow="1500" windowWidth="30320" windowHeight="24400" xr2:uid="{00000000-000D-0000-FFFF-FFFF00000000}"/>
  </bookViews>
  <sheets>
    <sheet name="Net Worth MoM" sheetId="2" r:id="rId1"/>
    <sheet name="Brokerage Ledger" sheetId="3" r:id="rId2"/>
    <sheet name="Accounts" sheetId="4" r:id="rId3"/>
    <sheet name="TICKERS" sheetId="5" r:id="rId4"/>
  </sheets>
  <definedNames>
    <definedName name="APR">#REF!</definedName>
    <definedName name="Current_Debt_Total">#REF!</definedName>
    <definedName name="Current_Jeep">#REF!</definedName>
    <definedName name="Current_Mortgage">#REF!</definedName>
    <definedName name="EXTRA_MNTHLY">#REF!</definedName>
    <definedName name="EXTRA_PMT">#REF!</definedName>
    <definedName name="Gross_Salary">#REF!</definedName>
    <definedName name="Lake_apr">#REF!</definedName>
    <definedName name="Lake_nper">#REF!</definedName>
    <definedName name="LoanPurpose">#REF!</definedName>
    <definedName name="MoRT_PMT">#REF!</definedName>
    <definedName name="NPER">#REF!</definedName>
    <definedName name="Payment">#REF!</definedName>
    <definedName name="Pen_After_Death">#REF!</definedName>
    <definedName name="Pen_B4_Death">#REF!</definedName>
    <definedName name="Pen_B4_SS">#REF!</definedName>
    <definedName name="Pension">#REF!</definedName>
    <definedName name="Principal">#REF!</definedName>
    <definedName name="rate">#REF!</definedName>
    <definedName name="Refi_Mortgage">#REF!</definedName>
    <definedName name="retire_Apr">#REF!</definedName>
    <definedName name="SS">#REF!</definedName>
    <definedName name="TodaySnP" localSheetId="2">#REF!</definedName>
    <definedName name="TodaySnP" localSheetId="1">'Brokerage Ledger'!#REF!</definedName>
    <definedName name="TodaySnP" localSheetId="3">#REF!</definedName>
    <definedName name="TodaySnP">#REF!</definedName>
    <definedName name="TotalMonthlyExpenses">#REF!</definedName>
    <definedName name="TotalMonthlyIncome">#REF!</definedName>
    <definedName name="TotalMonthlySavings">#REF!</definedName>
    <definedName name="TotalSavings">#REF!</definedName>
    <definedName name="TotalSpe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D7" i="2"/>
  <c r="E6" i="2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D6" i="2"/>
  <c r="E5" i="2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D5" i="2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D4" i="2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D3" i="2"/>
  <c r="G3" i="3" a="1"/>
  <c r="G3" i="3" s="1"/>
  <c r="G4" i="3" a="1"/>
  <c r="G4" i="3" s="1"/>
  <c r="G5" i="3" a="1"/>
  <c r="G5" i="3" s="1"/>
  <c r="G6" i="3" a="1"/>
  <c r="G6" i="3" s="1"/>
  <c r="G7" i="3" a="1"/>
  <c r="G7" i="3" s="1"/>
  <c r="G8" i="3" a="1"/>
  <c r="G8" i="3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 s="1"/>
  <c r="G19" i="3" a="1"/>
  <c r="G19" i="3" s="1"/>
  <c r="G20" i="3" a="1"/>
  <c r="G20" i="3" s="1"/>
  <c r="G21" i="3" a="1"/>
  <c r="G21" i="3" s="1"/>
  <c r="G22" i="3" a="1"/>
  <c r="G22" i="3" s="1"/>
  <c r="G23" i="3" a="1"/>
  <c r="G23" i="3" s="1"/>
  <c r="G24" i="3" a="1"/>
  <c r="G24" i="3" s="1"/>
  <c r="G25" i="3" a="1"/>
  <c r="G25" i="3" s="1"/>
  <c r="G26" i="3" a="1"/>
  <c r="G26" i="3" s="1"/>
  <c r="G27" i="3" a="1"/>
  <c r="G27" i="3" s="1"/>
  <c r="G28" i="3" a="1"/>
  <c r="G28" i="3" s="1"/>
  <c r="G29" i="3" a="1"/>
  <c r="G29" i="3" s="1"/>
  <c r="G30" i="3" a="1"/>
  <c r="G30" i="3" s="1"/>
  <c r="G31" i="3" a="1"/>
  <c r="G31" i="3" s="1"/>
  <c r="G32" i="3" a="1"/>
  <c r="G32" i="3" s="1"/>
  <c r="G33" i="3" a="1"/>
  <c r="G33" i="3" s="1"/>
  <c r="G34" i="3" a="1"/>
  <c r="G34" i="3" s="1"/>
  <c r="G35" i="3" a="1"/>
  <c r="G35" i="3" s="1"/>
  <c r="G36" i="3" a="1"/>
  <c r="G36" i="3" s="1"/>
  <c r="G37" i="3" a="1"/>
  <c r="G37" i="3" s="1"/>
  <c r="G38" i="3" a="1"/>
  <c r="G38" i="3" s="1"/>
  <c r="G39" i="3" a="1"/>
  <c r="G39" i="3" s="1"/>
  <c r="G40" i="3" a="1"/>
  <c r="G40" i="3" s="1"/>
  <c r="G41" i="3" a="1"/>
  <c r="G41" i="3" s="1"/>
  <c r="G42" i="3" a="1"/>
  <c r="G42" i="3" s="1"/>
  <c r="G43" i="3" a="1"/>
  <c r="G43" i="3" s="1"/>
  <c r="G44" i="3" a="1"/>
  <c r="G44" i="3" s="1"/>
  <c r="G45" i="3" a="1"/>
  <c r="G45" i="3" s="1"/>
  <c r="G46" i="3" a="1"/>
  <c r="G46" i="3" s="1"/>
  <c r="G47" i="3" a="1"/>
  <c r="G47" i="3" s="1"/>
  <c r="G48" i="3" a="1"/>
  <c r="G48" i="3" s="1"/>
  <c r="G49" i="3" a="1"/>
  <c r="G49" i="3" s="1"/>
  <c r="G50" i="3" a="1"/>
  <c r="G50" i="3" s="1"/>
  <c r="G51" i="3" a="1"/>
  <c r="G51" i="3" s="1"/>
  <c r="G52" i="3" a="1"/>
  <c r="G52" i="3" s="1"/>
  <c r="G53" i="3" a="1"/>
  <c r="G53" i="3" s="1"/>
  <c r="G54" i="3" a="1"/>
  <c r="G54" i="3" s="1"/>
  <c r="G55" i="3" a="1"/>
  <c r="G55" i="3" s="1"/>
  <c r="G56" i="3" a="1"/>
  <c r="G56" i="3" s="1"/>
  <c r="G57" i="3" a="1"/>
  <c r="G57" i="3" s="1"/>
  <c r="G58" i="3" a="1"/>
  <c r="G58" i="3" s="1"/>
  <c r="G59" i="3" a="1"/>
  <c r="G59" i="3" s="1"/>
  <c r="G60" i="3" a="1"/>
  <c r="G60" i="3" s="1"/>
  <c r="G61" i="3" a="1"/>
  <c r="G61" i="3" s="1"/>
  <c r="G62" i="3" a="1"/>
  <c r="G62" i="3" s="1"/>
  <c r="G63" i="3" a="1"/>
  <c r="G63" i="3" s="1"/>
  <c r="G64" i="3" a="1"/>
  <c r="G64" i="3" s="1"/>
  <c r="G65" i="3" a="1"/>
  <c r="G65" i="3" s="1"/>
  <c r="G66" i="3" a="1"/>
  <c r="G66" i="3" s="1"/>
  <c r="G67" i="3" a="1"/>
  <c r="G67" i="3" s="1"/>
  <c r="G68" i="3" a="1"/>
  <c r="G68" i="3" s="1"/>
  <c r="G69" i="3" a="1"/>
  <c r="G69" i="3" s="1"/>
  <c r="G70" i="3" a="1"/>
  <c r="G70" i="3" s="1"/>
  <c r="G71" i="3" a="1"/>
  <c r="G71" i="3" s="1"/>
  <c r="G72" i="3" a="1"/>
  <c r="G72" i="3" s="1"/>
  <c r="G73" i="3" a="1"/>
  <c r="G73" i="3" s="1"/>
  <c r="G74" i="3" a="1"/>
  <c r="G74" i="3" s="1"/>
  <c r="C14" i="3" a="1"/>
  <c r="C14" i="3" s="1"/>
  <c r="C8" i="3" a="1"/>
  <c r="C8" i="3" s="1"/>
  <c r="C3" i="3" a="1"/>
  <c r="C3" i="3" s="1"/>
  <c r="D3" i="3" a="1"/>
  <c r="D3" i="3" s="1"/>
  <c r="I3" i="3"/>
  <c r="K3" i="3"/>
  <c r="O3" i="3"/>
  <c r="C20" i="3" a="1"/>
  <c r="C20" i="3" s="1"/>
  <c r="D20" i="3" a="1"/>
  <c r="D20" i="3" s="1"/>
  <c r="I20" i="3"/>
  <c r="K20" i="3"/>
  <c r="O20" i="3"/>
  <c r="C21" i="3" a="1"/>
  <c r="C21" i="3" s="1"/>
  <c r="D21" i="3" a="1"/>
  <c r="D21" i="3" s="1"/>
  <c r="I21" i="3"/>
  <c r="J21" i="3"/>
  <c r="K21" i="3"/>
  <c r="O21" i="3"/>
  <c r="C22" i="3" a="1"/>
  <c r="C22" i="3" s="1"/>
  <c r="D22" i="3" a="1"/>
  <c r="D22" i="3" s="1"/>
  <c r="I22" i="3"/>
  <c r="J22" i="3"/>
  <c r="K22" i="3"/>
  <c r="O22" i="3"/>
  <c r="C23" i="3" a="1"/>
  <c r="C23" i="3" s="1"/>
  <c r="D23" i="3" a="1"/>
  <c r="D23" i="3" s="1"/>
  <c r="I23" i="3"/>
  <c r="J23" i="3"/>
  <c r="K23" i="3"/>
  <c r="O23" i="3"/>
  <c r="C24" i="3" a="1"/>
  <c r="C24" i="3" s="1"/>
  <c r="D24" i="3" a="1"/>
  <c r="D24" i="3" s="1"/>
  <c r="I24" i="3"/>
  <c r="J24" i="3"/>
  <c r="K24" i="3"/>
  <c r="C25" i="3" a="1"/>
  <c r="C25" i="3" s="1"/>
  <c r="D25" i="3" a="1"/>
  <c r="D25" i="3" s="1"/>
  <c r="I25" i="3"/>
  <c r="J25" i="3"/>
  <c r="K25" i="3"/>
  <c r="O25" i="3"/>
  <c r="C26" i="3" a="1"/>
  <c r="C26" i="3" s="1"/>
  <c r="D26" i="3" a="1"/>
  <c r="D26" i="3" s="1"/>
  <c r="I26" i="3"/>
  <c r="J26" i="3"/>
  <c r="K26" i="3"/>
  <c r="O26" i="3"/>
  <c r="C27" i="3" a="1"/>
  <c r="C27" i="3" s="1"/>
  <c r="D27" i="3" a="1"/>
  <c r="D27" i="3" s="1"/>
  <c r="I27" i="3"/>
  <c r="J27" i="3"/>
  <c r="K27" i="3"/>
  <c r="O27" i="3"/>
  <c r="C4" i="3" a="1"/>
  <c r="C4" i="3" s="1"/>
  <c r="D4" i="3" a="1"/>
  <c r="D4" i="3" s="1"/>
  <c r="I4" i="3"/>
  <c r="O4" i="3"/>
  <c r="C5" i="3" a="1"/>
  <c r="C5" i="3" s="1"/>
  <c r="D5" i="3" a="1"/>
  <c r="D5" i="3" s="1"/>
  <c r="I5" i="3"/>
  <c r="J5" i="3"/>
  <c r="K5" i="3"/>
  <c r="O5" i="3"/>
  <c r="C28" i="3" a="1"/>
  <c r="C28" i="3" s="1"/>
  <c r="D28" i="3" a="1"/>
  <c r="D28" i="3" s="1"/>
  <c r="I28" i="3"/>
  <c r="J28" i="3"/>
  <c r="K28" i="3"/>
  <c r="O28" i="3"/>
  <c r="C29" i="3" a="1"/>
  <c r="C29" i="3" s="1"/>
  <c r="D29" i="3" a="1"/>
  <c r="D29" i="3" s="1"/>
  <c r="I29" i="3"/>
  <c r="J29" i="3"/>
  <c r="K29" i="3"/>
  <c r="O29" i="3"/>
  <c r="C30" i="3" a="1"/>
  <c r="C30" i="3" s="1"/>
  <c r="D30" i="3" a="1"/>
  <c r="D30" i="3" s="1"/>
  <c r="I30" i="3"/>
  <c r="J30" i="3"/>
  <c r="K30" i="3"/>
  <c r="O30" i="3"/>
  <c r="C6" i="3" a="1"/>
  <c r="C6" i="3" s="1"/>
  <c r="D6" i="3" a="1"/>
  <c r="D6" i="3" s="1"/>
  <c r="I6" i="3"/>
  <c r="J6" i="3"/>
  <c r="K6" i="3"/>
  <c r="O6" i="3"/>
  <c r="C7" i="3" a="1"/>
  <c r="C7" i="3" s="1"/>
  <c r="D7" i="3" a="1"/>
  <c r="D7" i="3" s="1"/>
  <c r="I7" i="3"/>
  <c r="J7" i="3"/>
  <c r="K7" i="3"/>
  <c r="O7" i="3"/>
  <c r="D8" i="3" a="1"/>
  <c r="D8" i="3" s="1"/>
  <c r="I8" i="3"/>
  <c r="J8" i="3"/>
  <c r="K8" i="3"/>
  <c r="O8" i="3"/>
  <c r="C9" i="3" a="1"/>
  <c r="C9" i="3" s="1"/>
  <c r="D9" i="3" a="1"/>
  <c r="D9" i="3" s="1"/>
  <c r="I9" i="3"/>
  <c r="J9" i="3"/>
  <c r="K9" i="3"/>
  <c r="O9" i="3"/>
  <c r="C10" i="3" a="1"/>
  <c r="C10" i="3" s="1"/>
  <c r="D10" i="3" a="1"/>
  <c r="D10" i="3" s="1"/>
  <c r="I10" i="3"/>
  <c r="J10" i="3"/>
  <c r="K10" i="3"/>
  <c r="O10" i="3"/>
  <c r="C11" i="3" a="1"/>
  <c r="C11" i="3" s="1"/>
  <c r="D11" i="3" a="1"/>
  <c r="D11" i="3" s="1"/>
  <c r="I11" i="3"/>
  <c r="J11" i="3"/>
  <c r="N11" i="3" s="1"/>
  <c r="K11" i="3"/>
  <c r="C31" i="3" a="1"/>
  <c r="C31" i="3" s="1"/>
  <c r="D31" i="3" a="1"/>
  <c r="D31" i="3" s="1"/>
  <c r="I31" i="3"/>
  <c r="O31" i="3"/>
  <c r="C32" i="3" a="1"/>
  <c r="C32" i="3" s="1"/>
  <c r="D32" i="3" a="1"/>
  <c r="D32" i="3" s="1"/>
  <c r="I32" i="3"/>
  <c r="O32" i="3"/>
  <c r="C33" i="3" a="1"/>
  <c r="C33" i="3" s="1"/>
  <c r="D33" i="3" a="1"/>
  <c r="D33" i="3" s="1"/>
  <c r="I33" i="3"/>
  <c r="O33" i="3"/>
  <c r="C12" i="3" a="1"/>
  <c r="C12" i="3" s="1"/>
  <c r="D12" i="3" a="1"/>
  <c r="D12" i="3" s="1"/>
  <c r="I12" i="3"/>
  <c r="J12" i="3"/>
  <c r="K12" i="3"/>
  <c r="O12" i="3"/>
  <c r="C34" i="3" a="1"/>
  <c r="C34" i="3" s="1"/>
  <c r="D34" i="3" a="1"/>
  <c r="D34" i="3" s="1"/>
  <c r="I34" i="3"/>
  <c r="J34" i="3"/>
  <c r="K34" i="3"/>
  <c r="O34" i="3"/>
  <c r="C13" i="3" a="1"/>
  <c r="C13" i="3" s="1"/>
  <c r="D13" i="3" a="1"/>
  <c r="D13" i="3" s="1"/>
  <c r="I13" i="3"/>
  <c r="O13" i="3"/>
  <c r="C35" i="3" a="1"/>
  <c r="C35" i="3" s="1"/>
  <c r="D35" i="3" a="1"/>
  <c r="D35" i="3" s="1"/>
  <c r="I35" i="3"/>
  <c r="J35" i="3"/>
  <c r="K35" i="3"/>
  <c r="O35" i="3"/>
  <c r="D14" i="3" a="1"/>
  <c r="D14" i="3" s="1"/>
  <c r="I14" i="3"/>
  <c r="O14" i="3"/>
  <c r="C15" i="3" a="1"/>
  <c r="C15" i="3" s="1"/>
  <c r="D15" i="3" a="1"/>
  <c r="D15" i="3" s="1"/>
  <c r="I15" i="3"/>
  <c r="J15" i="3"/>
  <c r="O15" i="3"/>
  <c r="C16" i="3" a="1"/>
  <c r="C16" i="3" s="1"/>
  <c r="D16" i="3" a="1"/>
  <c r="D16" i="3" s="1"/>
  <c r="I16" i="3"/>
  <c r="O16" i="3"/>
  <c r="C17" i="3" a="1"/>
  <c r="C17" i="3" s="1"/>
  <c r="D17" i="3" a="1"/>
  <c r="D17" i="3" s="1"/>
  <c r="I17" i="3"/>
  <c r="O17" i="3"/>
  <c r="C18" i="3" a="1"/>
  <c r="C18" i="3" s="1"/>
  <c r="D18" i="3" a="1"/>
  <c r="D18" i="3" s="1"/>
  <c r="I18" i="3"/>
  <c r="O18" i="3"/>
  <c r="C19" i="3" a="1"/>
  <c r="C19" i="3" s="1"/>
  <c r="D19" i="3" a="1"/>
  <c r="D19" i="3" s="1"/>
  <c r="I19" i="3"/>
  <c r="O19" i="3"/>
  <c r="C36" i="3" a="1"/>
  <c r="C36" i="3" s="1"/>
  <c r="D36" i="3" a="1"/>
  <c r="D36" i="3" s="1"/>
  <c r="I36" i="3"/>
  <c r="O36" i="3"/>
  <c r="C37" i="3" a="1"/>
  <c r="C37" i="3" s="1"/>
  <c r="D37" i="3" a="1"/>
  <c r="D37" i="3" s="1"/>
  <c r="I37" i="3"/>
  <c r="O37" i="3"/>
  <c r="C38" i="3" a="1"/>
  <c r="C38" i="3" s="1"/>
  <c r="D38" i="3" a="1"/>
  <c r="D38" i="3" s="1"/>
  <c r="I38" i="3"/>
  <c r="O38" i="3"/>
  <c r="C39" i="3" a="1"/>
  <c r="C39" i="3" s="1"/>
  <c r="D39" i="3" a="1"/>
  <c r="D39" i="3" s="1"/>
  <c r="I39" i="3"/>
  <c r="O39" i="3"/>
  <c r="C40" i="3" a="1"/>
  <c r="C40" i="3" s="1"/>
  <c r="D40" i="3" a="1"/>
  <c r="D40" i="3" s="1"/>
  <c r="I40" i="3"/>
  <c r="O40" i="3"/>
  <c r="C41" i="3" a="1"/>
  <c r="C41" i="3" s="1"/>
  <c r="D41" i="3" a="1"/>
  <c r="D41" i="3" s="1"/>
  <c r="I41" i="3"/>
  <c r="O41" i="3"/>
  <c r="C42" i="3" a="1"/>
  <c r="C42" i="3" s="1"/>
  <c r="D42" i="3" a="1"/>
  <c r="D42" i="3" s="1"/>
  <c r="I42" i="3"/>
  <c r="O42" i="3"/>
  <c r="C43" i="3" a="1"/>
  <c r="C43" i="3" s="1"/>
  <c r="D43" i="3" a="1"/>
  <c r="D43" i="3" s="1"/>
  <c r="I43" i="3"/>
  <c r="J43" i="3"/>
  <c r="O43" i="3"/>
  <c r="C44" i="3" a="1"/>
  <c r="C44" i="3" s="1"/>
  <c r="D44" i="3" a="1"/>
  <c r="D44" i="3" s="1"/>
  <c r="I44" i="3"/>
  <c r="O44" i="3"/>
  <c r="C45" i="3" a="1"/>
  <c r="C45" i="3" s="1"/>
  <c r="D45" i="3" a="1"/>
  <c r="D45" i="3" s="1"/>
  <c r="I45" i="3"/>
  <c r="O45" i="3"/>
  <c r="C46" i="3" a="1"/>
  <c r="C46" i="3" s="1"/>
  <c r="D46" i="3" a="1"/>
  <c r="D46" i="3" s="1"/>
  <c r="I46" i="3"/>
  <c r="J46" i="3"/>
  <c r="O46" i="3"/>
  <c r="C47" i="3" a="1"/>
  <c r="C47" i="3" s="1"/>
  <c r="D47" i="3" a="1"/>
  <c r="D47" i="3" s="1"/>
  <c r="I47" i="3"/>
  <c r="O47" i="3"/>
  <c r="C48" i="3" a="1"/>
  <c r="C48" i="3" s="1"/>
  <c r="D48" i="3" a="1"/>
  <c r="D48" i="3" s="1"/>
  <c r="I48" i="3"/>
  <c r="O48" i="3"/>
  <c r="C49" i="3" a="1"/>
  <c r="C49" i="3" s="1"/>
  <c r="D49" i="3" a="1"/>
  <c r="D49" i="3" s="1"/>
  <c r="I49" i="3"/>
  <c r="O49" i="3"/>
  <c r="C50" i="3" a="1"/>
  <c r="C50" i="3" s="1"/>
  <c r="D50" i="3" a="1"/>
  <c r="D50" i="3" s="1"/>
  <c r="I50" i="3"/>
  <c r="O50" i="3"/>
  <c r="C51" i="3" a="1"/>
  <c r="C51" i="3" s="1"/>
  <c r="D51" i="3" a="1"/>
  <c r="D51" i="3" s="1"/>
  <c r="I51" i="3"/>
  <c r="O51" i="3"/>
  <c r="C52" i="3" a="1"/>
  <c r="C52" i="3" s="1"/>
  <c r="D52" i="3" a="1"/>
  <c r="D52" i="3" s="1"/>
  <c r="I52" i="3"/>
  <c r="O52" i="3"/>
  <c r="C53" i="3" a="1"/>
  <c r="C53" i="3" s="1"/>
  <c r="D53" i="3" a="1"/>
  <c r="D53" i="3" s="1"/>
  <c r="I53" i="3"/>
  <c r="O53" i="3"/>
  <c r="C54" i="3" a="1"/>
  <c r="C54" i="3" s="1"/>
  <c r="D54" i="3" a="1"/>
  <c r="D54" i="3" s="1"/>
  <c r="I54" i="3"/>
  <c r="O54" i="3"/>
  <c r="C55" i="3" a="1"/>
  <c r="C55" i="3" s="1"/>
  <c r="D55" i="3" a="1"/>
  <c r="D55" i="3" s="1"/>
  <c r="I55" i="3"/>
  <c r="J55" i="3"/>
  <c r="O55" i="3"/>
  <c r="C56" i="3" a="1"/>
  <c r="C56" i="3" s="1"/>
  <c r="D56" i="3" a="1"/>
  <c r="D56" i="3" s="1"/>
  <c r="I56" i="3"/>
  <c r="O56" i="3"/>
  <c r="C57" i="3" a="1"/>
  <c r="C57" i="3" s="1"/>
  <c r="D57" i="3" a="1"/>
  <c r="D57" i="3" s="1"/>
  <c r="I57" i="3"/>
  <c r="O57" i="3"/>
  <c r="C58" i="3" a="1"/>
  <c r="C58" i="3" s="1"/>
  <c r="D58" i="3" a="1"/>
  <c r="D58" i="3" s="1"/>
  <c r="I58" i="3"/>
  <c r="O58" i="3"/>
  <c r="C59" i="3" a="1"/>
  <c r="C59" i="3" s="1"/>
  <c r="D59" i="3" a="1"/>
  <c r="D59" i="3" s="1"/>
  <c r="I59" i="3"/>
  <c r="O59" i="3"/>
  <c r="C60" i="3" a="1"/>
  <c r="C60" i="3" s="1"/>
  <c r="D60" i="3" a="1"/>
  <c r="D60" i="3" s="1"/>
  <c r="I60" i="3"/>
  <c r="O60" i="3"/>
  <c r="C61" i="3" a="1"/>
  <c r="C61" i="3" s="1"/>
  <c r="D61" i="3" a="1"/>
  <c r="D61" i="3" s="1"/>
  <c r="I61" i="3"/>
  <c r="O61" i="3"/>
  <c r="C62" i="3" a="1"/>
  <c r="C62" i="3" s="1"/>
  <c r="D62" i="3" a="1"/>
  <c r="D62" i="3" s="1"/>
  <c r="I62" i="3"/>
  <c r="J62" i="3"/>
  <c r="O62" i="3"/>
  <c r="C63" i="3" a="1"/>
  <c r="C63" i="3" s="1"/>
  <c r="D63" i="3" a="1"/>
  <c r="D63" i="3" s="1"/>
  <c r="I63" i="3"/>
  <c r="O63" i="3"/>
  <c r="C64" i="3" a="1"/>
  <c r="C64" i="3" s="1"/>
  <c r="D64" i="3" a="1"/>
  <c r="D64" i="3" s="1"/>
  <c r="I64" i="3"/>
  <c r="J64" i="3"/>
  <c r="O64" i="3"/>
  <c r="C65" i="3" a="1"/>
  <c r="C65" i="3" s="1"/>
  <c r="D65" i="3" a="1"/>
  <c r="D65" i="3" s="1"/>
  <c r="I65" i="3"/>
  <c r="O65" i="3"/>
  <c r="C66" i="3" a="1"/>
  <c r="C66" i="3" s="1"/>
  <c r="D66" i="3" a="1"/>
  <c r="D66" i="3" s="1"/>
  <c r="I66" i="3"/>
  <c r="O66" i="3"/>
  <c r="C67" i="3" a="1"/>
  <c r="C67" i="3" s="1"/>
  <c r="D67" i="3" a="1"/>
  <c r="D67" i="3" s="1"/>
  <c r="I67" i="3"/>
  <c r="O67" i="3"/>
  <c r="C68" i="3" a="1"/>
  <c r="C68" i="3" s="1"/>
  <c r="D68" i="3" a="1"/>
  <c r="D68" i="3" s="1"/>
  <c r="I68" i="3"/>
  <c r="O68" i="3"/>
  <c r="C69" i="3" a="1"/>
  <c r="C69" i="3" s="1"/>
  <c r="D69" i="3" a="1"/>
  <c r="D69" i="3" s="1"/>
  <c r="I69" i="3"/>
  <c r="O69" i="3"/>
  <c r="C70" i="3" a="1"/>
  <c r="C70" i="3" s="1"/>
  <c r="D70" i="3" a="1"/>
  <c r="D70" i="3" s="1"/>
  <c r="I70" i="3"/>
  <c r="O70" i="3"/>
  <c r="C71" i="3" a="1"/>
  <c r="C71" i="3" s="1"/>
  <c r="D71" i="3" a="1"/>
  <c r="D71" i="3" s="1"/>
  <c r="I71" i="3"/>
  <c r="O71" i="3"/>
  <c r="C72" i="3" a="1"/>
  <c r="C72" i="3" s="1"/>
  <c r="D72" i="3" a="1"/>
  <c r="D72" i="3" s="1"/>
  <c r="I72" i="3"/>
  <c r="O72" i="3"/>
  <c r="C73" i="3" a="1"/>
  <c r="C73" i="3" s="1"/>
  <c r="D73" i="3" a="1"/>
  <c r="D73" i="3" s="1"/>
  <c r="I73" i="3"/>
  <c r="O73" i="3"/>
  <c r="C74" i="3" a="1"/>
  <c r="C74" i="3" s="1"/>
  <c r="I74" i="3"/>
  <c r="O74" i="3"/>
  <c r="D74" i="3" a="1"/>
  <c r="D74" i="3" s="1"/>
  <c r="D14" i="2"/>
  <c r="E13" i="2"/>
  <c r="D13" i="2"/>
  <c r="C13" i="2"/>
  <c r="C11" i="2"/>
  <c r="E10" i="2"/>
  <c r="D10" i="2"/>
  <c r="C10" i="2"/>
  <c r="K15" i="2"/>
  <c r="H15" i="2"/>
  <c r="C14" i="2"/>
  <c r="C12" i="2"/>
  <c r="D20" i="2"/>
  <c r="E14" i="2" l="1"/>
  <c r="F13" i="2"/>
  <c r="G12" i="2"/>
  <c r="F11" i="2"/>
  <c r="E11" i="2"/>
  <c r="F10" i="2"/>
  <c r="I15" i="2"/>
  <c r="D19" i="2"/>
  <c r="E20" i="2"/>
  <c r="J15" i="2"/>
  <c r="C16" i="2"/>
  <c r="F20" i="2"/>
  <c r="C15" i="2"/>
  <c r="D16" i="2"/>
  <c r="D15" i="2"/>
  <c r="D11" i="2"/>
  <c r="E16" i="2"/>
  <c r="E15" i="2"/>
  <c r="M15" i="2"/>
  <c r="F16" i="2"/>
  <c r="G11" i="2"/>
  <c r="D12" i="2"/>
  <c r="F15" i="2"/>
  <c r="E12" i="2"/>
  <c r="O15" i="2"/>
  <c r="C20" i="2"/>
  <c r="F12" i="2"/>
  <c r="N15" i="2"/>
  <c r="F14" i="2" l="1"/>
  <c r="G13" i="2"/>
  <c r="H12" i="2"/>
  <c r="G20" i="2"/>
  <c r="G10" i="2"/>
  <c r="E18" i="2"/>
  <c r="E17" i="2"/>
  <c r="F19" i="2"/>
  <c r="E19" i="2"/>
  <c r="C19" i="2"/>
  <c r="F18" i="2"/>
  <c r="F17" i="2"/>
  <c r="P15" i="2"/>
  <c r="G15" i="2"/>
  <c r="G19" i="2"/>
  <c r="C17" i="2"/>
  <c r="L15" i="2"/>
  <c r="D18" i="2"/>
  <c r="D17" i="2"/>
  <c r="G14" i="2" l="1"/>
  <c r="G16" i="2"/>
  <c r="H13" i="2"/>
  <c r="I12" i="2"/>
  <c r="H11" i="2"/>
  <c r="H20" i="2"/>
  <c r="H10" i="2"/>
  <c r="H16" i="2"/>
  <c r="H19" i="2"/>
  <c r="G17" i="2" l="1"/>
  <c r="G18" i="2"/>
  <c r="H14" i="2"/>
  <c r="I13" i="2"/>
  <c r="J12" i="2"/>
  <c r="I11" i="2"/>
  <c r="I20" i="2"/>
  <c r="H18" i="2"/>
  <c r="H17" i="2"/>
  <c r="I10" i="2"/>
  <c r="I16" i="2"/>
  <c r="I19" i="2"/>
  <c r="I14" i="2" l="1"/>
  <c r="J13" i="2"/>
  <c r="K12" i="2"/>
  <c r="J11" i="2"/>
  <c r="J20" i="2"/>
  <c r="I18" i="2"/>
  <c r="I17" i="2"/>
  <c r="J10" i="2"/>
  <c r="J16" i="2"/>
  <c r="J19" i="2"/>
  <c r="J14" i="2" l="1"/>
  <c r="K13" i="2"/>
  <c r="L12" i="2"/>
  <c r="K11" i="2"/>
  <c r="K20" i="2"/>
  <c r="J18" i="2"/>
  <c r="J17" i="2"/>
  <c r="K10" i="2"/>
  <c r="K16" i="2"/>
  <c r="K19" i="2"/>
  <c r="K14" i="2" l="1"/>
  <c r="L13" i="2"/>
  <c r="M12" i="2"/>
  <c r="L11" i="2"/>
  <c r="L20" i="2"/>
  <c r="K18" i="2"/>
  <c r="K17" i="2"/>
  <c r="L10" i="2"/>
  <c r="L16" i="2"/>
  <c r="L19" i="2"/>
  <c r="L14" i="2" l="1"/>
  <c r="M16" i="2"/>
  <c r="M13" i="2"/>
  <c r="N12" i="2"/>
  <c r="M11" i="2"/>
  <c r="M20" i="2"/>
  <c r="M10" i="2"/>
  <c r="M19" i="2"/>
  <c r="L18" i="2"/>
  <c r="L17" i="2"/>
  <c r="M14" i="2" l="1"/>
  <c r="N13" i="2"/>
  <c r="O12" i="2"/>
  <c r="N11" i="2"/>
  <c r="N20" i="2"/>
  <c r="M18" i="2"/>
  <c r="M17" i="2"/>
  <c r="N10" i="2"/>
  <c r="N16" i="2"/>
  <c r="N19" i="2"/>
  <c r="N14" i="2" l="1"/>
  <c r="O13" i="2"/>
  <c r="P12" i="2"/>
  <c r="O11" i="2"/>
  <c r="O20" i="2"/>
  <c r="N18" i="2"/>
  <c r="N17" i="2"/>
  <c r="O10" i="2"/>
  <c r="O16" i="2"/>
  <c r="O19" i="2"/>
  <c r="O14" i="2" l="1"/>
  <c r="P13" i="2"/>
  <c r="P20" i="2"/>
  <c r="P11" i="2"/>
  <c r="O18" i="2"/>
  <c r="O17" i="2"/>
  <c r="P10" i="2"/>
  <c r="P16" i="2"/>
  <c r="P19" i="2"/>
  <c r="P14" i="2" l="1"/>
  <c r="R20" i="2"/>
  <c r="Q20" i="2"/>
  <c r="P18" i="2"/>
  <c r="P17" i="2"/>
  <c r="Q19" i="2"/>
  <c r="Q16" i="2"/>
  <c r="Q17" i="2" s="1"/>
  <c r="R19" i="2" l="1"/>
  <c r="R16" i="2"/>
  <c r="Q18" i="2"/>
  <c r="R18" i="2" l="1"/>
  <c r="R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<sst xmlns="http://schemas.openxmlformats.org/spreadsheetml/2006/main" count="513" uniqueCount="282">
  <si>
    <t>Account Type</t>
  </si>
  <si>
    <t>Mortgage</t>
  </si>
  <si>
    <t>Retirement</t>
  </si>
  <si>
    <t>Brokerage</t>
  </si>
  <si>
    <t>I captured data at month end balances</t>
  </si>
  <si>
    <t>RSUs</t>
  </si>
  <si>
    <t>Assets</t>
  </si>
  <si>
    <t>Loans R12 Detla</t>
  </si>
  <si>
    <t>Cash R12 Detla</t>
  </si>
  <si>
    <t>Stocks R12 Detla</t>
  </si>
  <si>
    <t>RSUs, R12 Detla</t>
  </si>
  <si>
    <t>Retirement, R12 Detla</t>
  </si>
  <si>
    <t>College, R12 Detla</t>
  </si>
  <si>
    <t>NET WORTH</t>
  </si>
  <si>
    <t>R12 NET WORTH Delta</t>
  </si>
  <si>
    <t>DEBT RATIO</t>
  </si>
  <si>
    <t>CASH / INVESTMENT</t>
  </si>
  <si>
    <t>Owner</t>
  </si>
  <si>
    <t>Transaction</t>
  </si>
  <si>
    <t>Symbol</t>
  </si>
  <si>
    <t>Security Description</t>
  </si>
  <si>
    <t>Date Acquired</t>
  </si>
  <si>
    <t>Tax Lot</t>
  </si>
  <si>
    <t>Shares Bought</t>
  </si>
  <si>
    <t>Cost Basis Per Share</t>
  </si>
  <si>
    <t>Date Sold</t>
  </si>
  <si>
    <t>Charitable Donation</t>
  </si>
  <si>
    <t>Shares Sold</t>
  </si>
  <si>
    <t>Sell Basis Per Share</t>
  </si>
  <si>
    <t>Proceeds</t>
  </si>
  <si>
    <t>Closed</t>
  </si>
  <si>
    <t>SSYS</t>
  </si>
  <si>
    <t>STRATASYS LTD</t>
  </si>
  <si>
    <t>WFM</t>
  </si>
  <si>
    <t>WHOLE FOODS MARKET INC COM STK NPV *CASH MERGER AT $42.00 PER SHARE*</t>
  </si>
  <si>
    <t>AAPL</t>
  </si>
  <si>
    <t>APPLE INC</t>
  </si>
  <si>
    <t>AMZN</t>
  </si>
  <si>
    <t>AMAZON.COM INC</t>
  </si>
  <si>
    <t>DASTY</t>
  </si>
  <si>
    <t>DASSAULT SYSTEMES SPON ADR EACH REP 1 ORD SHS</t>
  </si>
  <si>
    <t>DDD</t>
  </si>
  <si>
    <t>3 D SYSTEMS INC COM USD0.001</t>
  </si>
  <si>
    <t>MTN</t>
  </si>
  <si>
    <t>VAIL RESORTS INC</t>
  </si>
  <si>
    <t>Open</t>
  </si>
  <si>
    <t>NFLX</t>
  </si>
  <si>
    <t>NETFLIX INC</t>
  </si>
  <si>
    <t>Yes</t>
  </si>
  <si>
    <t>VOO</t>
  </si>
  <si>
    <t>VANGUARD INDEX FUNDS S&amp;P 500 ETF USD</t>
  </si>
  <si>
    <t>UA</t>
  </si>
  <si>
    <t>UNDER ARMOUR INC CL C</t>
  </si>
  <si>
    <t>LGF</t>
  </si>
  <si>
    <t>LIONS GATE ENTERTAINMENT CORP ISIN #CA5359192039 SEDOL #2753506 *REORGANIZATION*</t>
  </si>
  <si>
    <t>NKE</t>
  </si>
  <si>
    <t>NIKE INC CLASS B COMNPV</t>
  </si>
  <si>
    <t>DIS</t>
  </si>
  <si>
    <t>DISNEY WALT CO COM</t>
  </si>
  <si>
    <t>ATVI</t>
  </si>
  <si>
    <t>ACTIVISION BLIZZARD INC COM</t>
  </si>
  <si>
    <t>UAA</t>
  </si>
  <si>
    <t>UNDER ARMOUR INC COMSTK USD0.000333 CLASS A</t>
  </si>
  <si>
    <t>PYPL</t>
  </si>
  <si>
    <t>PAYPAL HLDGS INC COM</t>
  </si>
  <si>
    <t>EBAY</t>
  </si>
  <si>
    <t>EBAY INC. COM</t>
  </si>
  <si>
    <t>LNKD</t>
  </si>
  <si>
    <t>LINKEDIN CORP COM USD0.0001 ISIN #US53578A1088 SEDOL #BLWDMP2</t>
  </si>
  <si>
    <t>CRTO</t>
  </si>
  <si>
    <t>CRITEO ADR REP ORD</t>
  </si>
  <si>
    <t>SBUX</t>
  </si>
  <si>
    <t>STARBUCKS CORP COM USD0.001</t>
  </si>
  <si>
    <t>SHW</t>
  </si>
  <si>
    <t>SHERWIN-WILLIAMS CO</t>
  </si>
  <si>
    <t>SWIR</t>
  </si>
  <si>
    <t>SIERRA WIRELESS INC COM ISIN #CA8265161064 SEDOL #2418968</t>
  </si>
  <si>
    <t>ZAYO</t>
  </si>
  <si>
    <t>ZAYO GROUP HOLDINGS INC COM USD0.001 *CASH MERGER AT $35.00*</t>
  </si>
  <si>
    <t>BKNG</t>
  </si>
  <si>
    <t>BOOKING HOLDINGS INCCOM</t>
  </si>
  <si>
    <t>NCR</t>
  </si>
  <si>
    <t>NCR CORP</t>
  </si>
  <si>
    <t>BOOKING HOLDINGS INC COM</t>
  </si>
  <si>
    <t>COST</t>
  </si>
  <si>
    <t>COSTCO WHOLESALE CORP COM USD0.01</t>
  </si>
  <si>
    <t>CASY</t>
  </si>
  <si>
    <t>CASEYS GENERAL STORES INC</t>
  </si>
  <si>
    <t>HAIN</t>
  </si>
  <si>
    <t>HAIN CELESTIAL GROUPINC</t>
  </si>
  <si>
    <t>GOOG</t>
  </si>
  <si>
    <t>ALPHABET INC CAP STKCL C</t>
  </si>
  <si>
    <t>ALPHABET INC CAP STK CL C</t>
  </si>
  <si>
    <t>FB</t>
  </si>
  <si>
    <t>FACEBOOK INC-CLASS A</t>
  </si>
  <si>
    <t>NIKE INC CLASS B COM NPV</t>
  </si>
  <si>
    <t>BRKB</t>
  </si>
  <si>
    <t>BERKSHIRE HATHAWAY INC COM USD0.0033 CLASS B</t>
  </si>
  <si>
    <t>NVDA</t>
  </si>
  <si>
    <t>NVIDIA CORPORATION COM</t>
  </si>
  <si>
    <t>ANET</t>
  </si>
  <si>
    <t>ARISTA NETWORKS INC COM USD0.0001</t>
  </si>
  <si>
    <t>APPN</t>
  </si>
  <si>
    <t>APPIAN CORP CL A</t>
  </si>
  <si>
    <t>ADBE</t>
  </si>
  <si>
    <t>ADOBE SYSTEMS INCORPORATED COM</t>
  </si>
  <si>
    <t>TLND</t>
  </si>
  <si>
    <t>TALEND SA SPON ADS EACH REP 1 ORD SHS</t>
  </si>
  <si>
    <t>PAYC</t>
  </si>
  <si>
    <t>PAYCOM SOFTWARE INC COM USD0.01</t>
  </si>
  <si>
    <t>OKTA</t>
  </si>
  <si>
    <t>OKTA INC CL A</t>
  </si>
  <si>
    <t>SHOP</t>
  </si>
  <si>
    <t>SHOPIFY INC COM NPV CL A ISIN #CA82509L1076 SEDOL #BX865C7</t>
  </si>
  <si>
    <t>TSLA</t>
  </si>
  <si>
    <t>TESLA INC COM</t>
  </si>
  <si>
    <t>TWLO</t>
  </si>
  <si>
    <t>TWILIO INC CL A</t>
  </si>
  <si>
    <t>ZM</t>
  </si>
  <si>
    <t>ZOOM VIDEO COMMUNICATIONS INC CL A</t>
  </si>
  <si>
    <t>HUBS</t>
  </si>
  <si>
    <t>HUBSPOT INC</t>
  </si>
  <si>
    <t>SFIX</t>
  </si>
  <si>
    <t>STITCH FIX INC COM CL A</t>
  </si>
  <si>
    <t>GMED</t>
  </si>
  <si>
    <t>GLOBUS MEDICAL INC</t>
  </si>
  <si>
    <t>MTCH</t>
  </si>
  <si>
    <t>MATCH GROUP INC NEW COM</t>
  </si>
  <si>
    <t>WEX</t>
  </si>
  <si>
    <t>WEX INC</t>
  </si>
  <si>
    <t>ZNGA</t>
  </si>
  <si>
    <t>ZYNGA INC</t>
  </si>
  <si>
    <t>CRWD</t>
  </si>
  <si>
    <t>CROWDSTRIKE HLDGS INC CL A</t>
  </si>
  <si>
    <t>IRA</t>
  </si>
  <si>
    <t>CGNX</t>
  </si>
  <si>
    <t>COGNEX CORP COM</t>
  </si>
  <si>
    <t>CMG</t>
  </si>
  <si>
    <t>CHIPOTLE MEXICAN GRILL INC</t>
  </si>
  <si>
    <t>DE</t>
  </si>
  <si>
    <t>DEERE &amp; CO</t>
  </si>
  <si>
    <t>WD</t>
  </si>
  <si>
    <t>WALKER &amp; DUNLOP INC COM</t>
  </si>
  <si>
    <t>AI</t>
  </si>
  <si>
    <t>C3 AI INC CL A</t>
  </si>
  <si>
    <t>ASML</t>
  </si>
  <si>
    <t>ASML HOLDING NV EUR0.09 NY REGISTRY SHS 2012</t>
  </si>
  <si>
    <t>LMND</t>
  </si>
  <si>
    <t>LEMONADE INC COM</t>
  </si>
  <si>
    <t>MSFT</t>
  </si>
  <si>
    <t>MICROSOFT CORP</t>
  </si>
  <si>
    <t>PINS</t>
  </si>
  <si>
    <t>PINTEREST INC CL A</t>
  </si>
  <si>
    <t>SNOW</t>
  </si>
  <si>
    <t>SNOWFLAKE INC CL A</t>
  </si>
  <si>
    <t>ZI</t>
  </si>
  <si>
    <t>ZOOMINFO TECHNOLOGIES INC COM CL A</t>
  </si>
  <si>
    <t>ABNB</t>
  </si>
  <si>
    <t>AIRBNB INC COM CL A</t>
  </si>
  <si>
    <t>TTD</t>
  </si>
  <si>
    <t>THE TRADE DESK INC COM CL A</t>
  </si>
  <si>
    <t>DOCU</t>
  </si>
  <si>
    <t>DOCUSIGN INC COM</t>
  </si>
  <si>
    <t>LULU</t>
  </si>
  <si>
    <t>LULULEMON ATHLETICA INC COM USD0.005</t>
  </si>
  <si>
    <t>ROKU</t>
  </si>
  <si>
    <t>ROKU INC COM CL A</t>
  </si>
  <si>
    <t>XYZ</t>
  </si>
  <si>
    <t>SQUARE INC CL A</t>
  </si>
  <si>
    <t>DDOG</t>
  </si>
  <si>
    <t>DATADOG INC CL A COM</t>
  </si>
  <si>
    <t>UPST</t>
  </si>
  <si>
    <t>UPSTART HLDGS INC COM</t>
  </si>
  <si>
    <t>NET</t>
  </si>
  <si>
    <t>Cloudflare Inc CL A COM</t>
  </si>
  <si>
    <t>HSA</t>
  </si>
  <si>
    <t>ESTC</t>
  </si>
  <si>
    <t>ELASTIC N V COM EUR0.01</t>
  </si>
  <si>
    <t>MELI</t>
  </si>
  <si>
    <t>MERCADOLIBRE INC COM USD0.001</t>
  </si>
  <si>
    <t>FVRR</t>
  </si>
  <si>
    <t>FIVERR INTERNATIONAL LTD COM NPV</t>
  </si>
  <si>
    <t>ASAN</t>
  </si>
  <si>
    <t>ASANA INC CL A</t>
  </si>
  <si>
    <t>CRM</t>
  </si>
  <si>
    <t>SALESFORCE.COM INC COM USD0.001</t>
  </si>
  <si>
    <t>RBLX</t>
  </si>
  <si>
    <t>ROBLOX CORP CL A</t>
  </si>
  <si>
    <t>PATH</t>
  </si>
  <si>
    <t>TEAM</t>
  </si>
  <si>
    <t>ATLASSIAN CORPORATION PLC COM USD0.1 CL</t>
  </si>
  <si>
    <t>U</t>
  </si>
  <si>
    <t>UNITY SOFTWARE INC COM</t>
  </si>
  <si>
    <t>DOCN</t>
  </si>
  <si>
    <t>DIGITALOCEAN HLDGS INC COM</t>
  </si>
  <si>
    <t>UIPATH INC CL A</t>
  </si>
  <si>
    <t>MRVL</t>
  </si>
  <si>
    <t>MARVELL TECHNOLOGY INC COM</t>
  </si>
  <si>
    <t>INTC</t>
  </si>
  <si>
    <t>INTEL CORP COM</t>
  </si>
  <si>
    <t>BTC-USD</t>
  </si>
  <si>
    <t>Bitcoin</t>
  </si>
  <si>
    <t>ETH-USD</t>
  </si>
  <si>
    <t>Euthereum</t>
  </si>
  <si>
    <t>DOCS</t>
  </si>
  <si>
    <t>Doximity</t>
  </si>
  <si>
    <t>ISRG</t>
  </si>
  <si>
    <t>Intuitive Surgical</t>
  </si>
  <si>
    <t>TTWO</t>
  </si>
  <si>
    <t>TAKE-TWO INTERACTIVE SOFTWARE INC</t>
  </si>
  <si>
    <t>FTNT</t>
  </si>
  <si>
    <t>FORTINET INC COM</t>
  </si>
  <si>
    <t>ZS</t>
  </si>
  <si>
    <t>ZSCALER INC COM</t>
  </si>
  <si>
    <t>ACN</t>
  </si>
  <si>
    <t>ACCENTURE PLC</t>
  </si>
  <si>
    <t>DUOL</t>
  </si>
  <si>
    <t>DUOLINGO INC CL A COM</t>
  </si>
  <si>
    <t>META</t>
  </si>
  <si>
    <t>CAVA</t>
  </si>
  <si>
    <t>CAVA GROUP INC COM</t>
  </si>
  <si>
    <t>CELH</t>
  </si>
  <si>
    <t>CELSIUS HLDGS INC COM NEW</t>
  </si>
  <si>
    <t>CHGG</t>
  </si>
  <si>
    <t>CHEGG INC COM</t>
  </si>
  <si>
    <t>MDB</t>
  </si>
  <si>
    <t>MONGODB INC CL A</t>
  </si>
  <si>
    <t>HD</t>
  </si>
  <si>
    <t>HOME DEPOT INC</t>
  </si>
  <si>
    <t>VNQ</t>
  </si>
  <si>
    <t>VANGUARD REAL ESTATE ETF</t>
  </si>
  <si>
    <t>AMD</t>
  </si>
  <si>
    <t>ADVANCED MICRO DEVICES INC</t>
  </si>
  <si>
    <t>BBIO</t>
  </si>
  <si>
    <t>BRIDGEBIO PHARMA INC COM</t>
  </si>
  <si>
    <t>KNSL</t>
  </si>
  <si>
    <t>KINSALE CAP GROUP INC COM</t>
  </si>
  <si>
    <t>CART</t>
  </si>
  <si>
    <t>MAPLEBEAR INC COM</t>
  </si>
  <si>
    <t>HSY</t>
  </si>
  <si>
    <t>HERSHEY COMPANY COM USD1.00</t>
  </si>
  <si>
    <t>VIG</t>
  </si>
  <si>
    <t>VANGUARD SPECIALIZED FUNDS DIV APP ETF</t>
  </si>
  <si>
    <t>SPOT</t>
  </si>
  <si>
    <t>SPOTIFY TECHNOLOGY S.A. COM EUR0.000625</t>
  </si>
  <si>
    <t>ABBV</t>
  </si>
  <si>
    <t>ABBVIE INC COM</t>
  </si>
  <si>
    <t>BLK</t>
  </si>
  <si>
    <t>BLACKROCK INC COM</t>
  </si>
  <si>
    <t>JPM</t>
  </si>
  <si>
    <t>JPMORGAN CHASE &amp;CO. COM</t>
  </si>
  <si>
    <t>PEP</t>
  </si>
  <si>
    <t>PEPSICO INC</t>
  </si>
  <si>
    <t>PLD</t>
  </si>
  <si>
    <t>PROLOGIS INC. COM</t>
  </si>
  <si>
    <t>RSP</t>
  </si>
  <si>
    <t>INVESCO EXCHANGE TRADED FD TR S&amp;P500 EQL WGT</t>
  </si>
  <si>
    <t>DASH</t>
  </si>
  <si>
    <t>DOORDASH INC CL A</t>
  </si>
  <si>
    <t>SCHD</t>
  </si>
  <si>
    <t>SCHWAB US DIVIDEND EQUITY ETF</t>
  </si>
  <si>
    <t>TOST</t>
  </si>
  <si>
    <t>TOAST INC CL A</t>
  </si>
  <si>
    <t>KD</t>
  </si>
  <si>
    <t>KYNDRYL HLDGS INC COMMON STOCK</t>
  </si>
  <si>
    <t>VTI</t>
  </si>
  <si>
    <t>VANGUARD INDEX FDS VANGUARD TOTAL STK MKT ETF</t>
  </si>
  <si>
    <t>FTEC</t>
  </si>
  <si>
    <t>FIDELITY MSCI INFORMATION TECHNOLOGY INDEX ETF</t>
  </si>
  <si>
    <t>KLAR</t>
  </si>
  <si>
    <t>KLARNA GROUP PLC</t>
  </si>
  <si>
    <t>Account Type2</t>
  </si>
  <si>
    <t>Account</t>
  </si>
  <si>
    <t>XX123</t>
  </si>
  <si>
    <t>Drew</t>
  </si>
  <si>
    <t>Shaun</t>
  </si>
  <si>
    <t>XX456</t>
  </si>
  <si>
    <t>XX789</t>
  </si>
  <si>
    <t>Jackson</t>
  </si>
  <si>
    <t>Savings, Checking, CDs</t>
  </si>
  <si>
    <t>ESAs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</si>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</sst>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m/d/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3" tint="0.24994659260841701"/>
      <name val="Calibri"/>
      <family val="2"/>
      <scheme val="minor"/>
    </font>
    <font>
      <i/>
      <sz val="10"/>
      <color theme="3" tint="0.24994659260841701"/>
      <name val="Calibri"/>
      <family val="1"/>
      <scheme val="minor"/>
    </font>
    <font>
      <sz val="10"/>
      <color theme="3" tint="0.24994659260841701"/>
      <name val="Calibri"/>
      <family val="1"/>
      <scheme val="minor"/>
    </font>
    <font>
      <b/>
      <i/>
      <sz val="10"/>
      <color theme="3" tint="0.24994659260841701"/>
      <name val="Calibri"/>
      <family val="1"/>
      <scheme val="minor"/>
    </font>
    <font>
      <b/>
      <sz val="10"/>
      <color theme="3" tint="0.24994659260841701"/>
      <name val="Calibri"/>
      <family val="1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/>
      <bottom style="thin">
        <color theme="6" tint="0.3999755851924192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/>
      <top/>
      <bottom style="thin">
        <color rgb="FFC4D79B"/>
      </bottom>
      <diagonal/>
    </border>
    <border>
      <left/>
      <right/>
      <top style="thin">
        <color rgb="FFC4D79B"/>
      </top>
      <bottom/>
      <diagonal/>
    </border>
  </borders>
  <cellStyleXfs count="6">
    <xf numFmtId="0" fontId="0" fillId="0" borderId="0"/>
    <xf numFmtId="0" fontId="4" fillId="2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2" borderId="0" applyNumberFormat="0" applyFill="0" applyBorder="0" applyAlignment="0" applyProtection="0"/>
    <xf numFmtId="0" fontId="3" fillId="0" borderId="0"/>
  </cellStyleXfs>
  <cellXfs count="38">
    <xf numFmtId="0" fontId="0" fillId="0" borderId="0" xfId="0"/>
    <xf numFmtId="0" fontId="4" fillId="0" borderId="0" xfId="1" applyFill="1"/>
    <xf numFmtId="0" fontId="4" fillId="0" borderId="0" xfId="1" applyFill="1" applyAlignment="1">
      <alignment horizontal="center" vertical="center"/>
    </xf>
    <xf numFmtId="9" fontId="0" fillId="0" borderId="0" xfId="3" applyFont="1" applyFill="1"/>
    <xf numFmtId="0" fontId="9" fillId="0" borderId="0" xfId="1" applyFont="1" applyFill="1" applyAlignment="1">
      <alignment wrapText="1"/>
    </xf>
    <xf numFmtId="0" fontId="9" fillId="0" borderId="0" xfId="1" applyFont="1" applyFill="1" applyAlignment="1">
      <alignment horizontal="center" vertical="center" wrapText="1"/>
    </xf>
    <xf numFmtId="0" fontId="4" fillId="0" borderId="0" xfId="1" applyFill="1" applyAlignment="1">
      <alignment wrapText="1"/>
    </xf>
    <xf numFmtId="0" fontId="10" fillId="0" borderId="0" xfId="1" applyFont="1" applyFill="1"/>
    <xf numFmtId="14" fontId="10" fillId="0" borderId="0" xfId="1" applyNumberFormat="1" applyFont="1" applyFill="1" applyAlignment="1">
      <alignment horizontal="center" vertical="center"/>
    </xf>
    <xf numFmtId="14" fontId="10" fillId="0" borderId="0" xfId="1" applyNumberFormat="1" applyFont="1" applyFill="1"/>
    <xf numFmtId="8" fontId="10" fillId="0" borderId="0" xfId="1" applyNumberFormat="1" applyFont="1" applyFill="1"/>
    <xf numFmtId="166" fontId="10" fillId="0" borderId="0" xfId="1" applyNumberFormat="1" applyFont="1" applyFill="1"/>
    <xf numFmtId="8" fontId="10" fillId="0" borderId="0" xfId="3" applyNumberFormat="1" applyFont="1" applyFill="1"/>
    <xf numFmtId="0" fontId="10" fillId="0" borderId="1" xfId="1" applyFont="1" applyFill="1" applyBorder="1"/>
    <xf numFmtId="14" fontId="9" fillId="0" borderId="0" xfId="1" applyNumberFormat="1" applyFont="1" applyFill="1"/>
    <xf numFmtId="0" fontId="10" fillId="0" borderId="2" xfId="1" applyFont="1" applyFill="1" applyBorder="1"/>
    <xf numFmtId="9" fontId="10" fillId="0" borderId="0" xfId="3" applyFont="1" applyFill="1"/>
    <xf numFmtId="0" fontId="3" fillId="0" borderId="0" xfId="5"/>
    <xf numFmtId="0" fontId="9" fillId="0" borderId="3" xfId="1" applyFont="1" applyFill="1" applyBorder="1" applyAlignment="1">
      <alignment wrapText="1"/>
    </xf>
    <xf numFmtId="0" fontId="9" fillId="0" borderId="4" xfId="1" applyFont="1" applyFill="1" applyBorder="1" applyAlignment="1">
      <alignment wrapText="1"/>
    </xf>
    <xf numFmtId="0" fontId="5" fillId="0" borderId="0" xfId="1" quotePrefix="1" applyFont="1" applyFill="1"/>
    <xf numFmtId="14" fontId="4" fillId="0" borderId="0" xfId="1" applyNumberFormat="1" applyFill="1"/>
    <xf numFmtId="165" fontId="4" fillId="0" borderId="0" xfId="1" applyNumberFormat="1" applyFill="1"/>
    <xf numFmtId="165" fontId="6" fillId="0" borderId="0" xfId="1" applyNumberFormat="1" applyFont="1" applyFill="1"/>
    <xf numFmtId="0" fontId="7" fillId="0" borderId="0" xfId="1" applyFont="1" applyFill="1" applyAlignment="1">
      <alignment horizontal="left" indent="1"/>
    </xf>
    <xf numFmtId="165" fontId="7" fillId="0" borderId="0" xfId="1" applyNumberFormat="1" applyFont="1" applyFill="1" applyAlignment="1">
      <alignment horizontal="left" indent="1"/>
    </xf>
    <xf numFmtId="0" fontId="8" fillId="0" borderId="0" xfId="1" applyFont="1" applyFill="1"/>
    <xf numFmtId="165" fontId="8" fillId="0" borderId="0" xfId="2" applyNumberFormat="1" applyFont="1" applyFill="1"/>
    <xf numFmtId="0" fontId="9" fillId="0" borderId="6" xfId="0" applyFont="1" applyBorder="1" applyAlignment="1">
      <alignment wrapText="1"/>
    </xf>
    <xf numFmtId="0" fontId="10" fillId="0" borderId="5" xfId="0" applyFont="1" applyBorder="1"/>
    <xf numFmtId="0" fontId="10" fillId="0" borderId="7" xfId="0" applyFont="1" applyBorder="1"/>
    <xf numFmtId="0" fontId="10" fillId="0" borderId="0" xfId="1" applyFont="1" applyFill="1" applyAlignment="1">
      <alignment horizontal="left"/>
    </xf>
    <xf numFmtId="0" fontId="2" fillId="0" borderId="0" xfId="5" applyFont="1"/>
    <xf numFmtId="0" fontId="10" fillId="0" borderId="5" xfId="0" applyFont="1" applyBorder="1" applyAlignment="1">
      <alignment horizontal="left" vertical="center"/>
    </xf>
    <xf numFmtId="0" fontId="0" fillId="0" borderId="5" xfId="0" applyBorder="1"/>
    <xf numFmtId="0" fontId="10" fillId="0" borderId="0" xfId="0" applyFont="1"/>
    <xf numFmtId="0" fontId="1" fillId="0" borderId="0" xfId="5" applyFont="1"/>
    <xf numFmtId="0" fontId="10" fillId="0" borderId="0" xfId="1" applyFont="1" applyFill="1" applyBorder="1"/>
  </cellXfs>
  <cellStyles count="6">
    <cellStyle name="Currency 2" xfId="2" xr:uid="{D655E404-8C1B-DF48-8D9D-D324C80C0672}"/>
    <cellStyle name="Hyperlink 2" xfId="4" xr:uid="{3170A470-83DC-0E4B-8785-C4B5A6F9B359}"/>
    <cellStyle name="Normal" xfId="0" builtinId="0"/>
    <cellStyle name="Normal 2" xfId="1" xr:uid="{A462ACF6-D8CA-4647-892F-4D0F5A8D29DB}"/>
    <cellStyle name="Normal 3" xfId="5" xr:uid="{732B5898-BCB8-C343-AF16-A20D71439C6E}"/>
    <cellStyle name="Percent 2" xfId="3" xr:uid="{01008BA3-CD0C-284E-A1D3-FD4E9CACE534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C4D79B"/>
        </top>
        <bottom style="thin">
          <color rgb="FFC4D79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C4D79B"/>
        </top>
        <bottom style="thin">
          <color rgb="FFC4D79B"/>
        </bottom>
      </border>
    </dxf>
    <dxf>
      <border outline="0">
        <top style="thin">
          <color rgb="FFC4D79B"/>
        </top>
      </border>
    </dxf>
    <dxf>
      <border outline="0">
        <bottom style="thin">
          <color rgb="FFC4D79B"/>
        </bottom>
      </border>
    </dxf>
    <dxf>
      <border outline="0">
        <top style="thin">
          <color rgb="FFC4D79B"/>
        </top>
        <bottom style="thin">
          <color rgb="FFC4D79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left style="thin">
          <color theme="6" tint="0.39997558519241921"/>
        </left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2" formatCode="&quot;$&quot;#,##0.00_);[Red]\(&quot;$&quot;#,##0.00\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9DAB8-F1BD-B345-9B2F-E6AC58E10BFC}" name="Table94" displayName="Table94" ref="B2:P74" totalsRowShown="0" headerRowDxfId="29" dataDxfId="28">
  <autoFilter ref="B2:P74" xr:uid="{DC823EA7-96F7-2F4E-B52F-42D44C968852}"/>
  <sortState xmlns:xlrd2="http://schemas.microsoft.com/office/spreadsheetml/2017/richdata2" ref="B3:P74">
    <sortCondition ref="F2:F74"/>
  </sortState>
  <tableColumns count="15">
    <tableColumn id="23" xr3:uid="{A4FB8D61-F8E8-0549-8CF1-57859C9032F4}" name="Account" dataDxfId="27" dataCellStyle="Normal 2"/>
    <tableColumn id="8" xr3:uid="{0C9F0E32-F018-3C47-B814-D1A61B9D0AFF}" name="Account Type" dataDxfId="26" dataCellStyle="Normal 2">
      <calculatedColumnFormula array="1">_xlfn.XLOOKUP(Table94[[#This Row],[Account]],Table2[[#All],[Account]],Table2[[#All],[Account Type2]])</calculatedColumnFormula>
    </tableColumn>
    <tableColumn id="7" xr3:uid="{D169E110-E703-BF43-A845-F0ED1BA60A06}" name="Owner" dataDxfId="25" dataCellStyle="Normal 2">
      <calculatedColumnFormula array="1">_xlfn.XLOOKUP(Table94[[#This Row],[Account]],Table2[[#All],[Account]],Table2[[#All],[Owner]])</calculatedColumnFormula>
    </tableColumn>
    <tableColumn id="1" xr3:uid="{8A5BD062-5160-3442-AFBC-D5F3025844A0}" name="Transaction" dataDxfId="24"/>
    <tableColumn id="2" xr3:uid="{F7650405-3FA3-2644-8A8D-2C7083F3B3A7}" name="Symbol" dataDxfId="23"/>
    <tableColumn id="3" xr3:uid="{4FCD6B4E-1472-8848-B966-87254E8E416A}" name="Security Description" dataDxfId="0">
      <calculatedColumnFormula array="1">_xlfn.XLOOKUP(Table94[[#This Row],[Symbol]],Table36[[#All],[Symbol]],Table36[[#All],[Security Description]])</calculatedColumnFormula>
    </tableColumn>
    <tableColumn id="19" xr3:uid="{DAFA0BC3-2DAB-4F41-8F01-515BF1B08B49}" name="Date Acquired" dataDxfId="22"/>
    <tableColumn id="21" xr3:uid="{B513C9C2-DC54-4343-A12C-3BC40DC6A1D4}" name="Tax Lot" dataDxfId="21">
      <calculatedColumnFormula>Table94[[#This Row],[Symbol]]&amp;" "&amp;Table94[[#This Row],[Date Acquired]]</calculatedColumnFormula>
    </tableColumn>
    <tableColumn id="16" xr3:uid="{AA5C2F47-FABB-744E-B22E-93BDA5A60169}" name="Shares Bought" dataDxfId="20"/>
    <tableColumn id="17" xr3:uid="{AF2EF30C-DB9D-B647-91F7-AE6CC91360FE}" name="Cost Basis Per Share" dataDxfId="19"/>
    <tableColumn id="6" xr3:uid="{D7476FB0-3BD0-884A-8D5B-5FDB73572B30}" name="Date Sold" dataDxfId="18"/>
    <tableColumn id="34" xr3:uid="{4D49026F-EDF5-F647-871B-450AF7E25222}" name="Charitable Donation" dataDxfId="17" dataCellStyle="Normal 2"/>
    <tableColumn id="4" xr3:uid="{86D4F3E6-61EC-2E4F-B0C9-A10EF8675119}" name="Shares Sold" dataDxfId="16"/>
    <tableColumn id="5" xr3:uid="{2D5C8AA1-5888-9B4D-982C-17B0EF0C5E8C}" name="Sell Basis Per Share" dataDxfId="15">
      <calculatedColumnFormula>IF(Table94[[#This Row],[Transaction]]="Closed",Table94[[#This Row],[Proceeds]]/Table94[[#This Row],[Shares Sold]],"")</calculatedColumnFormula>
    </tableColumn>
    <tableColumn id="9" xr3:uid="{D3F3F7A5-4344-0642-B712-4D343CDF4760}" name="Proceeds" dataDxfId="1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1528D-24A5-E34F-8618-A83A0E9F524C}" name="Table2" displayName="Table2" ref="B2:D5" totalsRowShown="0" headerRowDxfId="13" headerRowBorderDxfId="12" tableBorderDxfId="11" headerRowCellStyle="Normal 2">
  <autoFilter ref="B2:D5" xr:uid="{7E51528D-24A5-E34F-8618-A83A0E9F524C}"/>
  <sortState xmlns:xlrd2="http://schemas.microsoft.com/office/spreadsheetml/2017/richdata2" ref="B3:D18">
    <sortCondition ref="B2:B18"/>
  </sortState>
  <tableColumns count="3">
    <tableColumn id="1" xr3:uid="{E93127C4-420A-7747-8A55-0B318848E1E3}" name="Account" dataDxfId="10" dataCellStyle="Normal 2"/>
    <tableColumn id="3" xr3:uid="{197654EF-E8B0-0C47-BE59-988D3E7F12B0}" name="Account Type2" dataDxfId="9" dataCellStyle="Normal 2"/>
    <tableColumn id="2" xr3:uid="{C2BCC5DC-C83C-7241-8A7C-45214E2825A7}" name="Owner" dataDxfId="8" dataCellStyle="Normal 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4420C0-67BF-754B-82F1-22C18F63CB05}" name="Table36" displayName="Table36" ref="B2:C123" totalsRowShown="0" headerRowDxfId="7" dataDxfId="6" headerRowBorderDxfId="4" tableBorderDxfId="5" totalsRowBorderDxfId="3">
  <autoFilter ref="B2:C123" xr:uid="{C0235A1E-DAE8-854D-AE7C-BAE868CA9B0D}"/>
  <sortState xmlns:xlrd2="http://schemas.microsoft.com/office/spreadsheetml/2017/richdata2" ref="B3:C123">
    <sortCondition ref="B2:B123"/>
  </sortState>
  <tableColumns count="2">
    <tableColumn id="1" xr3:uid="{B953BA70-C8D0-DB47-BE56-CE898F2F19CF}" name="Symbol" dataDxfId="2"/>
    <tableColumn id="2" xr3:uid="{E103F59B-E81C-9244-BF1C-D1275EEB27B3}" name="Security Description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D5DC-743C-EC4F-BB67-9040F607CA62}">
  <sheetPr>
    <tabColor theme="8"/>
  </sheetPr>
  <dimension ref="A1:AM21"/>
  <sheetViews>
    <sheetView tabSelected="1" topLeftCell="B1" zoomScale="125" workbookViewId="0">
      <pane xSplit="1" ySplit="2" topLeftCell="C3" activePane="bottomRight" state="frozen"/>
      <selection activeCell="B1" sqref="B1"/>
      <selection pane="topRight" activeCell="C1" sqref="C1"/>
      <selection pane="bottomLeft" activeCell="B3" sqref="B3"/>
      <selection pane="bottomRight" activeCell="C9" sqref="C9:R9"/>
    </sheetView>
  </sheetViews>
  <sheetFormatPr baseColWidth="10" defaultColWidth="10.83203125" defaultRowHeight="14" x14ac:dyDescent="0.2"/>
  <cols>
    <col min="1" max="1" width="10.83203125" style="1"/>
    <col min="2" max="2" width="19.6640625" style="1" bestFit="1" customWidth="1"/>
    <col min="3" max="18" width="11.5" style="1" bestFit="1" customWidth="1"/>
    <col min="19" max="16384" width="10.83203125" style="1"/>
  </cols>
  <sheetData>
    <row r="1" spans="1:39" x14ac:dyDescent="0.2">
      <c r="A1" s="20" t="s">
        <v>4</v>
      </c>
    </row>
    <row r="2" spans="1:39" x14ac:dyDescent="0.2">
      <c r="C2" s="21">
        <v>45658</v>
      </c>
      <c r="D2" s="21">
        <v>45689</v>
      </c>
      <c r="E2" s="21">
        <v>45717</v>
      </c>
      <c r="F2" s="21">
        <v>45748</v>
      </c>
      <c r="G2" s="21">
        <v>45778</v>
      </c>
      <c r="H2" s="21">
        <v>45809</v>
      </c>
      <c r="I2" s="21">
        <v>45839</v>
      </c>
      <c r="J2" s="21">
        <v>45870</v>
      </c>
      <c r="K2" s="21">
        <v>45901</v>
      </c>
      <c r="L2" s="21">
        <v>45931</v>
      </c>
      <c r="M2" s="21">
        <v>45962</v>
      </c>
      <c r="N2" s="21">
        <v>45992</v>
      </c>
      <c r="O2" s="21">
        <v>46023</v>
      </c>
      <c r="P2" s="21">
        <v>46054</v>
      </c>
      <c r="Q2" s="21">
        <v>46082</v>
      </c>
      <c r="R2" s="21">
        <v>46113</v>
      </c>
      <c r="S2" s="21">
        <v>46143</v>
      </c>
      <c r="T2" s="21">
        <v>46174</v>
      </c>
      <c r="U2" s="21">
        <v>46204</v>
      </c>
      <c r="V2" s="21">
        <v>46235</v>
      </c>
      <c r="W2" s="21">
        <v>46266</v>
      </c>
      <c r="X2" s="21">
        <v>46296</v>
      </c>
      <c r="Y2" s="21">
        <v>46327</v>
      </c>
      <c r="Z2" s="21">
        <v>46357</v>
      </c>
      <c r="AA2" s="21">
        <v>46388</v>
      </c>
      <c r="AB2" s="21">
        <v>46419</v>
      </c>
      <c r="AC2" s="21">
        <v>46447</v>
      </c>
      <c r="AD2" s="21">
        <v>46478</v>
      </c>
      <c r="AE2" s="21">
        <v>46508</v>
      </c>
      <c r="AF2" s="21">
        <v>46539</v>
      </c>
      <c r="AG2" s="21">
        <v>46569</v>
      </c>
      <c r="AH2" s="21">
        <v>46600</v>
      </c>
      <c r="AI2" s="21">
        <v>46631</v>
      </c>
      <c r="AJ2" s="21">
        <v>46661</v>
      </c>
      <c r="AK2" s="21">
        <v>46692</v>
      </c>
      <c r="AL2" s="21">
        <v>46722</v>
      </c>
      <c r="AM2" s="21">
        <v>46753</v>
      </c>
    </row>
    <row r="3" spans="1:39" x14ac:dyDescent="0.2">
      <c r="B3" s="1" t="s">
        <v>1</v>
      </c>
      <c r="C3" s="22">
        <v>-300000</v>
      </c>
      <c r="D3" s="22">
        <f>C3+2500</f>
        <v>-297500</v>
      </c>
      <c r="E3" s="22">
        <f t="shared" ref="E3:R3" si="0">D3+2500</f>
        <v>-295000</v>
      </c>
      <c r="F3" s="22">
        <f t="shared" si="0"/>
        <v>-292500</v>
      </c>
      <c r="G3" s="22">
        <f t="shared" si="0"/>
        <v>-290000</v>
      </c>
      <c r="H3" s="22">
        <f t="shared" si="0"/>
        <v>-287500</v>
      </c>
      <c r="I3" s="22">
        <f t="shared" si="0"/>
        <v>-285000</v>
      </c>
      <c r="J3" s="22">
        <f t="shared" si="0"/>
        <v>-282500</v>
      </c>
      <c r="K3" s="22">
        <f t="shared" si="0"/>
        <v>-280000</v>
      </c>
      <c r="L3" s="22">
        <f t="shared" si="0"/>
        <v>-277500</v>
      </c>
      <c r="M3" s="22">
        <f t="shared" si="0"/>
        <v>-275000</v>
      </c>
      <c r="N3" s="22">
        <f t="shared" si="0"/>
        <v>-272500</v>
      </c>
      <c r="O3" s="22">
        <f t="shared" si="0"/>
        <v>-270000</v>
      </c>
      <c r="P3" s="22">
        <f t="shared" si="0"/>
        <v>-267500</v>
      </c>
      <c r="Q3" s="22">
        <f t="shared" si="0"/>
        <v>-265000</v>
      </c>
      <c r="R3" s="22">
        <f t="shared" si="0"/>
        <v>-262500</v>
      </c>
    </row>
    <row r="4" spans="1:39" x14ac:dyDescent="0.2">
      <c r="B4" s="1" t="s">
        <v>279</v>
      </c>
      <c r="C4" s="22">
        <v>50000</v>
      </c>
      <c r="D4" s="22">
        <f>C4*1.01</f>
        <v>50500</v>
      </c>
      <c r="E4" s="22">
        <f t="shared" ref="E4:R4" si="1">D4*1.01</f>
        <v>51005</v>
      </c>
      <c r="F4" s="22">
        <f t="shared" si="1"/>
        <v>51515.05</v>
      </c>
      <c r="G4" s="22">
        <f t="shared" si="1"/>
        <v>52030.200500000006</v>
      </c>
      <c r="H4" s="22">
        <f t="shared" si="1"/>
        <v>52550.502505000004</v>
      </c>
      <c r="I4" s="22">
        <f t="shared" si="1"/>
        <v>53076.007530050003</v>
      </c>
      <c r="J4" s="22">
        <f t="shared" si="1"/>
        <v>53606.767605350506</v>
      </c>
      <c r="K4" s="22">
        <f t="shared" si="1"/>
        <v>54142.835281404012</v>
      </c>
      <c r="L4" s="22">
        <f t="shared" si="1"/>
        <v>54684.263634218056</v>
      </c>
      <c r="M4" s="22">
        <f t="shared" si="1"/>
        <v>55231.106270560238</v>
      </c>
      <c r="N4" s="22">
        <f t="shared" si="1"/>
        <v>55783.417333265839</v>
      </c>
      <c r="O4" s="22">
        <f t="shared" si="1"/>
        <v>56341.251506598499</v>
      </c>
      <c r="P4" s="22">
        <f t="shared" si="1"/>
        <v>56904.664021664481</v>
      </c>
      <c r="Q4" s="22">
        <f t="shared" si="1"/>
        <v>57473.710661881123</v>
      </c>
      <c r="R4" s="22">
        <f t="shared" si="1"/>
        <v>58048.447768499937</v>
      </c>
    </row>
    <row r="5" spans="1:39" x14ac:dyDescent="0.2">
      <c r="B5" s="1" t="s">
        <v>3</v>
      </c>
      <c r="C5" s="22">
        <v>100000</v>
      </c>
      <c r="D5" s="22">
        <f>C5*1.03</f>
        <v>103000</v>
      </c>
      <c r="E5" s="22">
        <f t="shared" ref="E5:R5" si="2">D5*1.03</f>
        <v>106090</v>
      </c>
      <c r="F5" s="22">
        <f t="shared" si="2"/>
        <v>109272.7</v>
      </c>
      <c r="G5" s="22">
        <f t="shared" si="2"/>
        <v>112550.88099999999</v>
      </c>
      <c r="H5" s="22">
        <f t="shared" si="2"/>
        <v>115927.40742999999</v>
      </c>
      <c r="I5" s="22">
        <f t="shared" si="2"/>
        <v>119405.2296529</v>
      </c>
      <c r="J5" s="22">
        <f t="shared" si="2"/>
        <v>122987.386542487</v>
      </c>
      <c r="K5" s="22">
        <f t="shared" si="2"/>
        <v>126677.00813876161</v>
      </c>
      <c r="L5" s="22">
        <f t="shared" si="2"/>
        <v>130477.31838292447</v>
      </c>
      <c r="M5" s="22">
        <f t="shared" si="2"/>
        <v>134391.6379344122</v>
      </c>
      <c r="N5" s="22">
        <f t="shared" si="2"/>
        <v>138423.38707244457</v>
      </c>
      <c r="O5" s="22">
        <f t="shared" si="2"/>
        <v>142576.08868461792</v>
      </c>
      <c r="P5" s="22">
        <f t="shared" si="2"/>
        <v>146853.37134515645</v>
      </c>
      <c r="Q5" s="22">
        <f t="shared" si="2"/>
        <v>151258.97248551116</v>
      </c>
      <c r="R5" s="22">
        <f t="shared" si="2"/>
        <v>155796.74166007648</v>
      </c>
    </row>
    <row r="6" spans="1:39" x14ac:dyDescent="0.2">
      <c r="B6" s="1" t="s">
        <v>5</v>
      </c>
      <c r="C6" s="22">
        <v>10000</v>
      </c>
      <c r="D6" s="22">
        <f>C6</f>
        <v>10000</v>
      </c>
      <c r="E6" s="22">
        <f t="shared" ref="E6:R6" si="3">D6</f>
        <v>10000</v>
      </c>
      <c r="F6" s="22">
        <f t="shared" si="3"/>
        <v>10000</v>
      </c>
      <c r="G6" s="22">
        <f t="shared" si="3"/>
        <v>10000</v>
      </c>
      <c r="H6" s="22">
        <f t="shared" si="3"/>
        <v>10000</v>
      </c>
      <c r="I6" s="22">
        <f t="shared" si="3"/>
        <v>10000</v>
      </c>
      <c r="J6" s="22">
        <f t="shared" si="3"/>
        <v>10000</v>
      </c>
      <c r="K6" s="22">
        <f t="shared" si="3"/>
        <v>10000</v>
      </c>
      <c r="L6" s="22">
        <f t="shared" si="3"/>
        <v>10000</v>
      </c>
      <c r="M6" s="22">
        <f t="shared" si="3"/>
        <v>10000</v>
      </c>
      <c r="N6" s="22">
        <f t="shared" si="3"/>
        <v>10000</v>
      </c>
      <c r="O6" s="22">
        <f t="shared" si="3"/>
        <v>10000</v>
      </c>
      <c r="P6" s="22">
        <f t="shared" si="3"/>
        <v>10000</v>
      </c>
      <c r="Q6" s="22">
        <f t="shared" si="3"/>
        <v>10000</v>
      </c>
      <c r="R6" s="22">
        <f t="shared" si="3"/>
        <v>10000</v>
      </c>
    </row>
    <row r="7" spans="1:39" x14ac:dyDescent="0.2">
      <c r="B7" s="1" t="s">
        <v>2</v>
      </c>
      <c r="C7" s="22">
        <v>250000</v>
      </c>
      <c r="D7" s="22">
        <f>C7*1.01</f>
        <v>252500</v>
      </c>
      <c r="E7" s="22">
        <f t="shared" ref="E7:R7" si="4">D7*1.01</f>
        <v>255025</v>
      </c>
      <c r="F7" s="22">
        <f t="shared" si="4"/>
        <v>257575.25</v>
      </c>
      <c r="G7" s="22">
        <f t="shared" si="4"/>
        <v>260151.0025</v>
      </c>
      <c r="H7" s="22">
        <f t="shared" si="4"/>
        <v>262752.51252500003</v>
      </c>
      <c r="I7" s="22">
        <f t="shared" si="4"/>
        <v>265380.03765025001</v>
      </c>
      <c r="J7" s="22">
        <f t="shared" si="4"/>
        <v>268033.83802675252</v>
      </c>
      <c r="K7" s="22">
        <f t="shared" si="4"/>
        <v>270714.17640702007</v>
      </c>
      <c r="L7" s="22">
        <f t="shared" si="4"/>
        <v>273421.31817109027</v>
      </c>
      <c r="M7" s="22">
        <f t="shared" si="4"/>
        <v>276155.53135280119</v>
      </c>
      <c r="N7" s="22">
        <f t="shared" si="4"/>
        <v>278917.08666632918</v>
      </c>
      <c r="O7" s="22">
        <f t="shared" si="4"/>
        <v>281706.25753299246</v>
      </c>
      <c r="P7" s="22">
        <f t="shared" si="4"/>
        <v>284523.32010832237</v>
      </c>
      <c r="Q7" s="22">
        <f t="shared" si="4"/>
        <v>287368.55330940557</v>
      </c>
      <c r="R7" s="22">
        <f t="shared" si="4"/>
        <v>290242.23884249962</v>
      </c>
    </row>
    <row r="8" spans="1:39" x14ac:dyDescent="0.2">
      <c r="B8" s="1" t="s">
        <v>6</v>
      </c>
      <c r="C8" s="23">
        <v>500000</v>
      </c>
      <c r="D8" s="23">
        <v>500000</v>
      </c>
      <c r="E8" s="23">
        <v>500000</v>
      </c>
      <c r="F8" s="23">
        <v>500000</v>
      </c>
      <c r="G8" s="23">
        <v>500000</v>
      </c>
      <c r="H8" s="23">
        <v>500000</v>
      </c>
      <c r="I8" s="23">
        <v>500000</v>
      </c>
      <c r="J8" s="23">
        <v>500000</v>
      </c>
      <c r="K8" s="23">
        <v>500000</v>
      </c>
      <c r="L8" s="23">
        <v>500000</v>
      </c>
      <c r="M8" s="23">
        <v>500000</v>
      </c>
      <c r="N8" s="23">
        <v>500000</v>
      </c>
      <c r="O8" s="23">
        <v>500000</v>
      </c>
      <c r="P8" s="23">
        <v>500000</v>
      </c>
      <c r="Q8" s="23">
        <v>500000</v>
      </c>
      <c r="R8" s="23">
        <v>500000</v>
      </c>
    </row>
    <row r="9" spans="1:39" x14ac:dyDescent="0.2">
      <c r="B9" s="1" t="s">
        <v>280</v>
      </c>
      <c r="C9" s="22">
        <v>25000</v>
      </c>
      <c r="D9" s="22">
        <v>25000</v>
      </c>
      <c r="E9" s="22">
        <v>25000</v>
      </c>
      <c r="F9" s="22">
        <v>25000</v>
      </c>
      <c r="G9" s="22">
        <v>25000</v>
      </c>
      <c r="H9" s="22">
        <v>25000</v>
      </c>
      <c r="I9" s="22">
        <v>25000</v>
      </c>
      <c r="J9" s="22">
        <v>25000</v>
      </c>
      <c r="K9" s="22">
        <v>25000</v>
      </c>
      <c r="L9" s="22">
        <v>25000</v>
      </c>
      <c r="M9" s="22">
        <v>25000</v>
      </c>
      <c r="N9" s="22">
        <v>25000</v>
      </c>
      <c r="O9" s="22">
        <v>25000</v>
      </c>
      <c r="P9" s="22">
        <v>25000</v>
      </c>
      <c r="Q9" s="22">
        <v>25000</v>
      </c>
      <c r="R9" s="22">
        <v>25000</v>
      </c>
    </row>
    <row r="10" spans="1:39" hidden="1" x14ac:dyDescent="0.2">
      <c r="B10" s="24" t="s">
        <v>7</v>
      </c>
      <c r="C10" s="25" t="e">
        <f>#REF!-C3</f>
        <v>#REF!</v>
      </c>
      <c r="D10" s="25" t="e">
        <f>#REF!-D3</f>
        <v>#REF!</v>
      </c>
      <c r="E10" s="25" t="e">
        <f>#REF!-E3</f>
        <v>#REF!</v>
      </c>
      <c r="F10" s="25" t="e">
        <f>#REF!-F3</f>
        <v>#REF!</v>
      </c>
      <c r="G10" s="25" t="e">
        <f>#REF!-G3</f>
        <v>#REF!</v>
      </c>
      <c r="H10" s="25" t="e">
        <f>#REF!-H3</f>
        <v>#REF!</v>
      </c>
      <c r="I10" s="25" t="e">
        <f>#REF!-I3</f>
        <v>#REF!</v>
      </c>
      <c r="J10" s="25" t="e">
        <f>#REF!-J3</f>
        <v>#REF!</v>
      </c>
      <c r="K10" s="25" t="e">
        <f>#REF!-K3</f>
        <v>#REF!</v>
      </c>
      <c r="L10" s="25" t="e">
        <f>#REF!-L3</f>
        <v>#REF!</v>
      </c>
      <c r="M10" s="25" t="e">
        <f>#REF!-M3</f>
        <v>#REF!</v>
      </c>
      <c r="N10" s="25" t="e">
        <f>#REF!-N3</f>
        <v>#REF!</v>
      </c>
      <c r="O10" s="25">
        <f t="shared" ref="O10:P10" si="5">C3-O3</f>
        <v>-30000</v>
      </c>
      <c r="P10" s="25">
        <f t="shared" si="5"/>
        <v>-30000</v>
      </c>
      <c r="Q10" s="25"/>
      <c r="R10" s="25"/>
    </row>
    <row r="11" spans="1:39" hidden="1" x14ac:dyDescent="0.2">
      <c r="B11" s="24" t="s">
        <v>8</v>
      </c>
      <c r="C11" s="25" t="e">
        <f>C4-#REF!</f>
        <v>#REF!</v>
      </c>
      <c r="D11" s="25" t="e">
        <f>D4-#REF!</f>
        <v>#REF!</v>
      </c>
      <c r="E11" s="25" t="e">
        <f>E4-#REF!</f>
        <v>#REF!</v>
      </c>
      <c r="F11" s="25" t="e">
        <f>F4-#REF!</f>
        <v>#REF!</v>
      </c>
      <c r="G11" s="25" t="e">
        <f>G4-#REF!</f>
        <v>#REF!</v>
      </c>
      <c r="H11" s="25" t="e">
        <f>H4-#REF!</f>
        <v>#REF!</v>
      </c>
      <c r="I11" s="25" t="e">
        <f>I4-#REF!</f>
        <v>#REF!</v>
      </c>
      <c r="J11" s="25" t="e">
        <f>J4-#REF!</f>
        <v>#REF!</v>
      </c>
      <c r="K11" s="25" t="e">
        <f>K4-#REF!</f>
        <v>#REF!</v>
      </c>
      <c r="L11" s="25" t="e">
        <f>L4-#REF!</f>
        <v>#REF!</v>
      </c>
      <c r="M11" s="25" t="e">
        <f>M4-#REF!</f>
        <v>#REF!</v>
      </c>
      <c r="N11" s="25" t="e">
        <f>N4-#REF!</f>
        <v>#REF!</v>
      </c>
      <c r="O11" s="25">
        <f t="shared" ref="O11:P14" si="6">O4-C4</f>
        <v>6341.251506598499</v>
      </c>
      <c r="P11" s="25">
        <f t="shared" si="6"/>
        <v>6404.664021664481</v>
      </c>
      <c r="Q11" s="25"/>
      <c r="R11" s="25"/>
    </row>
    <row r="12" spans="1:39" hidden="1" x14ac:dyDescent="0.2">
      <c r="B12" s="24" t="s">
        <v>9</v>
      </c>
      <c r="C12" s="25" t="e">
        <f>C5-#REF!</f>
        <v>#REF!</v>
      </c>
      <c r="D12" s="25" t="e">
        <f>D5-#REF!</f>
        <v>#REF!</v>
      </c>
      <c r="E12" s="25" t="e">
        <f>E5-#REF!</f>
        <v>#REF!</v>
      </c>
      <c r="F12" s="25" t="e">
        <f>F5-#REF!</f>
        <v>#REF!</v>
      </c>
      <c r="G12" s="25" t="e">
        <f>G5-#REF!</f>
        <v>#REF!</v>
      </c>
      <c r="H12" s="25" t="e">
        <f>H5-#REF!</f>
        <v>#REF!</v>
      </c>
      <c r="I12" s="25" t="e">
        <f>I5-#REF!</f>
        <v>#REF!</v>
      </c>
      <c r="J12" s="25" t="e">
        <f>J5-#REF!</f>
        <v>#REF!</v>
      </c>
      <c r="K12" s="25" t="e">
        <f>K5-#REF!</f>
        <v>#REF!</v>
      </c>
      <c r="L12" s="25" t="e">
        <f>L5-#REF!</f>
        <v>#REF!</v>
      </c>
      <c r="M12" s="25" t="e">
        <f>M5-#REF!</f>
        <v>#REF!</v>
      </c>
      <c r="N12" s="25" t="e">
        <f>N5-#REF!</f>
        <v>#REF!</v>
      </c>
      <c r="O12" s="25">
        <f t="shared" si="6"/>
        <v>42576.08868461792</v>
      </c>
      <c r="P12" s="25">
        <f t="shared" si="6"/>
        <v>43853.371345156454</v>
      </c>
      <c r="Q12" s="25"/>
      <c r="R12" s="25"/>
    </row>
    <row r="13" spans="1:39" hidden="1" x14ac:dyDescent="0.2">
      <c r="B13" s="24" t="s">
        <v>10</v>
      </c>
      <c r="C13" s="25" t="e">
        <f>C6-#REF!</f>
        <v>#REF!</v>
      </c>
      <c r="D13" s="25" t="e">
        <f>D6-#REF!</f>
        <v>#REF!</v>
      </c>
      <c r="E13" s="25" t="e">
        <f>E6-#REF!</f>
        <v>#REF!</v>
      </c>
      <c r="F13" s="25" t="e">
        <f>F6-#REF!</f>
        <v>#REF!</v>
      </c>
      <c r="G13" s="25" t="e">
        <f>G6-#REF!</f>
        <v>#REF!</v>
      </c>
      <c r="H13" s="25" t="e">
        <f>H6-#REF!</f>
        <v>#REF!</v>
      </c>
      <c r="I13" s="25" t="e">
        <f>I6-#REF!</f>
        <v>#REF!</v>
      </c>
      <c r="J13" s="25" t="e">
        <f>J6-#REF!</f>
        <v>#REF!</v>
      </c>
      <c r="K13" s="25" t="e">
        <f>K6-#REF!</f>
        <v>#REF!</v>
      </c>
      <c r="L13" s="25" t="e">
        <f>L6-#REF!</f>
        <v>#REF!</v>
      </c>
      <c r="M13" s="25" t="e">
        <f>M6-#REF!</f>
        <v>#REF!</v>
      </c>
      <c r="N13" s="25" t="e">
        <f>N6-#REF!</f>
        <v>#REF!</v>
      </c>
      <c r="O13" s="25">
        <f t="shared" si="6"/>
        <v>0</v>
      </c>
      <c r="P13" s="25">
        <f t="shared" si="6"/>
        <v>0</v>
      </c>
      <c r="Q13" s="25"/>
      <c r="R13" s="25"/>
    </row>
    <row r="14" spans="1:39" hidden="1" x14ac:dyDescent="0.2">
      <c r="B14" s="24" t="s">
        <v>11</v>
      </c>
      <c r="C14" s="25" t="e">
        <f>C7-#REF!</f>
        <v>#REF!</v>
      </c>
      <c r="D14" s="25" t="e">
        <f>D7-#REF!</f>
        <v>#REF!</v>
      </c>
      <c r="E14" s="25" t="e">
        <f>E7-#REF!</f>
        <v>#REF!</v>
      </c>
      <c r="F14" s="25" t="e">
        <f>F7-#REF!</f>
        <v>#REF!</v>
      </c>
      <c r="G14" s="25" t="e">
        <f>G7-#REF!</f>
        <v>#REF!</v>
      </c>
      <c r="H14" s="25" t="e">
        <f>H7-#REF!</f>
        <v>#REF!</v>
      </c>
      <c r="I14" s="25" t="e">
        <f>I7-#REF!</f>
        <v>#REF!</v>
      </c>
      <c r="J14" s="25" t="e">
        <f>J7-#REF!</f>
        <v>#REF!</v>
      </c>
      <c r="K14" s="25" t="e">
        <f>K7-#REF!</f>
        <v>#REF!</v>
      </c>
      <c r="L14" s="25" t="e">
        <f>L7-#REF!</f>
        <v>#REF!</v>
      </c>
      <c r="M14" s="25" t="e">
        <f>M7-#REF!</f>
        <v>#REF!</v>
      </c>
      <c r="N14" s="25" t="e">
        <f>N7-#REF!</f>
        <v>#REF!</v>
      </c>
      <c r="O14" s="25">
        <f t="shared" si="6"/>
        <v>31706.257532992458</v>
      </c>
      <c r="P14" s="25">
        <f t="shared" si="6"/>
        <v>32023.320108322368</v>
      </c>
      <c r="Q14" s="25"/>
      <c r="R14" s="25"/>
    </row>
    <row r="15" spans="1:39" hidden="1" x14ac:dyDescent="0.2">
      <c r="B15" s="24" t="s">
        <v>12</v>
      </c>
      <c r="C15" s="25" t="e">
        <f>C9-#REF!</f>
        <v>#REF!</v>
      </c>
      <c r="D15" s="25" t="e">
        <f>D9-#REF!</f>
        <v>#REF!</v>
      </c>
      <c r="E15" s="25" t="e">
        <f>E9-#REF!</f>
        <v>#REF!</v>
      </c>
      <c r="F15" s="25" t="e">
        <f>F9-#REF!</f>
        <v>#REF!</v>
      </c>
      <c r="G15" s="25" t="e">
        <f>G9-#REF!</f>
        <v>#REF!</v>
      </c>
      <c r="H15" s="25" t="e">
        <f>H9-#REF!</f>
        <v>#REF!</v>
      </c>
      <c r="I15" s="25" t="e">
        <f>I9-#REF!</f>
        <v>#REF!</v>
      </c>
      <c r="J15" s="25" t="e">
        <f>J9-#REF!</f>
        <v>#REF!</v>
      </c>
      <c r="K15" s="25" t="e">
        <f>K9-#REF!</f>
        <v>#REF!</v>
      </c>
      <c r="L15" s="25" t="e">
        <f>L9-#REF!</f>
        <v>#REF!</v>
      </c>
      <c r="M15" s="25" t="e">
        <f>M9-#REF!</f>
        <v>#REF!</v>
      </c>
      <c r="N15" s="25" t="e">
        <f>N9-#REF!</f>
        <v>#REF!</v>
      </c>
      <c r="O15" s="25">
        <f t="shared" ref="O15:P15" si="7">O9-C9</f>
        <v>0</v>
      </c>
      <c r="P15" s="25">
        <f t="shared" si="7"/>
        <v>0</v>
      </c>
      <c r="Q15" s="25"/>
      <c r="R15" s="25"/>
    </row>
    <row r="16" spans="1:39" x14ac:dyDescent="0.2">
      <c r="B16" s="26" t="s">
        <v>13</v>
      </c>
      <c r="C16" s="27">
        <f t="shared" ref="C16:F16" si="8">SUM(C3:C8)</f>
        <v>610000</v>
      </c>
      <c r="D16" s="27">
        <f t="shared" si="8"/>
        <v>618500</v>
      </c>
      <c r="E16" s="27">
        <f t="shared" si="8"/>
        <v>627120</v>
      </c>
      <c r="F16" s="27">
        <f t="shared" si="8"/>
        <v>635863</v>
      </c>
      <c r="G16" s="27">
        <f t="shared" ref="G16:R16" si="9">SUM(G3:G8)</f>
        <v>644732.08400000003</v>
      </c>
      <c r="H16" s="27">
        <f t="shared" si="9"/>
        <v>653730.42246000003</v>
      </c>
      <c r="I16" s="27">
        <f t="shared" si="9"/>
        <v>662861.27483320003</v>
      </c>
      <c r="J16" s="27">
        <f t="shared" si="9"/>
        <v>672127.99217459001</v>
      </c>
      <c r="K16" s="27">
        <f t="shared" si="9"/>
        <v>681534.01982718566</v>
      </c>
      <c r="L16" s="27">
        <f t="shared" si="9"/>
        <v>691082.90018823277</v>
      </c>
      <c r="M16" s="27">
        <f t="shared" si="9"/>
        <v>700778.27555777365</v>
      </c>
      <c r="N16" s="27">
        <f t="shared" si="9"/>
        <v>710623.89107203961</v>
      </c>
      <c r="O16" s="27">
        <f t="shared" si="9"/>
        <v>720623.59772420884</v>
      </c>
      <c r="P16" s="27">
        <f t="shared" si="9"/>
        <v>730781.3554751433</v>
      </c>
      <c r="Q16" s="27">
        <f t="shared" si="9"/>
        <v>741101.23645679792</v>
      </c>
      <c r="R16" s="27">
        <f t="shared" si="9"/>
        <v>751587.42827107606</v>
      </c>
    </row>
    <row r="17" spans="2:18" hidden="1" x14ac:dyDescent="0.2">
      <c r="B17" s="26" t="s">
        <v>14</v>
      </c>
      <c r="C17" s="27" t="e">
        <f>C16-#REF!</f>
        <v>#REF!</v>
      </c>
      <c r="D17" s="27" t="e">
        <f>D16-#REF!</f>
        <v>#REF!</v>
      </c>
      <c r="E17" s="27" t="e">
        <f>E16-#REF!</f>
        <v>#REF!</v>
      </c>
      <c r="F17" s="27" t="e">
        <f>F16-#REF!</f>
        <v>#REF!</v>
      </c>
      <c r="G17" s="27" t="e">
        <f>G16-#REF!</f>
        <v>#REF!</v>
      </c>
      <c r="H17" s="27" t="e">
        <f>H16-#REF!</f>
        <v>#REF!</v>
      </c>
      <c r="I17" s="27" t="e">
        <f>I16-#REF!</f>
        <v>#REF!</v>
      </c>
      <c r="J17" s="27" t="e">
        <f>J16-#REF!</f>
        <v>#REF!</v>
      </c>
      <c r="K17" s="27" t="e">
        <f>K16-#REF!</f>
        <v>#REF!</v>
      </c>
      <c r="L17" s="27" t="e">
        <f>L16-#REF!</f>
        <v>#REF!</v>
      </c>
      <c r="M17" s="27" t="e">
        <f>M16-#REF!</f>
        <v>#REF!</v>
      </c>
      <c r="N17" s="27" t="e">
        <f>N16-#REF!</f>
        <v>#REF!</v>
      </c>
      <c r="O17" s="27">
        <f t="shared" ref="O17:R17" si="10">O16-C16</f>
        <v>110623.59772420884</v>
      </c>
      <c r="P17" s="27">
        <f t="shared" si="10"/>
        <v>112281.3554751433</v>
      </c>
      <c r="Q17" s="27">
        <f t="shared" si="10"/>
        <v>113981.23645679792</v>
      </c>
      <c r="R17" s="27">
        <f t="shared" si="10"/>
        <v>115724.42827107606</v>
      </c>
    </row>
    <row r="18" spans="2:18" ht="15" x14ac:dyDescent="0.2">
      <c r="B18" s="26" t="s">
        <v>281</v>
      </c>
      <c r="C18" s="3"/>
      <c r="D18" s="3">
        <f t="shared" ref="D18:R18" si="11">(D16-C16)/D16</f>
        <v>1.3742926434923201E-2</v>
      </c>
      <c r="E18" s="3">
        <f t="shared" si="11"/>
        <v>1.3745375685674193E-2</v>
      </c>
      <c r="F18" s="3">
        <f t="shared" si="11"/>
        <v>1.3749817177599577E-2</v>
      </c>
      <c r="G18" s="3">
        <f t="shared" si="11"/>
        <v>1.3756231805582102E-2</v>
      </c>
      <c r="H18" s="3">
        <f t="shared" si="11"/>
        <v>1.3764601050902726E-2</v>
      </c>
      <c r="I18" s="3">
        <f t="shared" si="11"/>
        <v>1.3774906937349231E-2</v>
      </c>
      <c r="J18" s="3">
        <f t="shared" si="11"/>
        <v>1.3787131988668726E-2</v>
      </c>
      <c r="K18" s="3">
        <f t="shared" si="11"/>
        <v>1.3801259187297375E-2</v>
      </c>
      <c r="L18" s="3">
        <f t="shared" si="11"/>
        <v>1.3817271934302301E-2</v>
      </c>
      <c r="M18" s="3">
        <f t="shared" si="11"/>
        <v>1.38351540104807E-2</v>
      </c>
      <c r="N18" s="3">
        <f t="shared" si="11"/>
        <v>1.3854889538561623E-2</v>
      </c>
      <c r="O18" s="3">
        <f t="shared" si="11"/>
        <v>1.3876462946466316E-2</v>
      </c>
      <c r="P18" s="3">
        <f t="shared" si="11"/>
        <v>1.3899858931581568E-2</v>
      </c>
      <c r="Q18" s="3">
        <f t="shared" si="11"/>
        <v>1.3925062426010699E-2</v>
      </c>
      <c r="R18" s="3">
        <f t="shared" si="11"/>
        <v>1.3952058562767853E-2</v>
      </c>
    </row>
    <row r="19" spans="2:18" ht="15" x14ac:dyDescent="0.2">
      <c r="B19" s="26" t="s">
        <v>15</v>
      </c>
      <c r="C19" s="3">
        <f t="shared" ref="C19:R19" si="12">-C3/SUM(C4:C9)</f>
        <v>0.32085561497326204</v>
      </c>
      <c r="D19" s="3">
        <f t="shared" si="12"/>
        <v>0.31615302869287992</v>
      </c>
      <c r="E19" s="3">
        <f t="shared" si="12"/>
        <v>0.31147056339217838</v>
      </c>
      <c r="F19" s="3">
        <f t="shared" si="12"/>
        <v>0.30680863427676552</v>
      </c>
      <c r="G19" s="3">
        <f t="shared" si="12"/>
        <v>0.302167662032647</v>
      </c>
      <c r="H19" s="3">
        <f t="shared" si="12"/>
        <v>0.29754807271337175</v>
      </c>
      <c r="I19" s="3">
        <f t="shared" si="12"/>
        <v>0.29295029761449193</v>
      </c>
      <c r="J19" s="3">
        <f t="shared" si="12"/>
        <v>0.28837477313495619</v>
      </c>
      <c r="K19" s="3">
        <f t="shared" si="12"/>
        <v>0.28382194062506683</v>
      </c>
      <c r="L19" s="3">
        <f t="shared" si="12"/>
        <v>0.27929224622065058</v>
      </c>
      <c r="M19" s="3">
        <f t="shared" si="12"/>
        <v>0.27478614066310697</v>
      </c>
      <c r="N19" s="3">
        <f t="shared" si="12"/>
        <v>0.2703040791050228</v>
      </c>
      <c r="O19" s="3">
        <f t="shared" si="12"/>
        <v>0.26584652090106137</v>
      </c>
      <c r="P19" s="3">
        <f t="shared" si="12"/>
        <v>0.26141392938386032</v>
      </c>
      <c r="Q19" s="3">
        <f t="shared" si="12"/>
        <v>0.25700677162470187</v>
      </c>
      <c r="R19" s="3">
        <f t="shared" si="12"/>
        <v>0.2526255181787449</v>
      </c>
    </row>
    <row r="20" spans="2:18" ht="15" x14ac:dyDescent="0.2">
      <c r="B20" s="26" t="s">
        <v>16</v>
      </c>
      <c r="C20" s="3">
        <f t="shared" ref="C20:R20" si="13">C4/C5</f>
        <v>0.5</v>
      </c>
      <c r="D20" s="3">
        <f t="shared" si="13"/>
        <v>0.49029126213592233</v>
      </c>
      <c r="E20" s="3">
        <f t="shared" si="13"/>
        <v>0.48077104345367139</v>
      </c>
      <c r="F20" s="3">
        <f t="shared" si="13"/>
        <v>0.47143568338660985</v>
      </c>
      <c r="G20" s="3">
        <f t="shared" si="13"/>
        <v>0.46228159244706407</v>
      </c>
      <c r="H20" s="3">
        <f t="shared" si="13"/>
        <v>0.4533052508461502</v>
      </c>
      <c r="I20" s="3">
        <f t="shared" si="13"/>
        <v>0.4445032071403997</v>
      </c>
      <c r="J20" s="3">
        <f t="shared" si="13"/>
        <v>0.43587207690466379</v>
      </c>
      <c r="K20" s="3">
        <f t="shared" si="13"/>
        <v>0.42740854143078683</v>
      </c>
      <c r="L20" s="3">
        <f t="shared" si="13"/>
        <v>0.41910934645154824</v>
      </c>
      <c r="M20" s="3">
        <f t="shared" si="13"/>
        <v>0.41097130088938227</v>
      </c>
      <c r="N20" s="3">
        <f t="shared" si="13"/>
        <v>0.40299127562939424</v>
      </c>
      <c r="O20" s="3">
        <f t="shared" si="13"/>
        <v>0.39516620231620209</v>
      </c>
      <c r="P20" s="3">
        <f t="shared" si="13"/>
        <v>0.38749307217413992</v>
      </c>
      <c r="Q20" s="3">
        <f t="shared" si="13"/>
        <v>0.3799689348503702</v>
      </c>
      <c r="R20" s="3">
        <f t="shared" si="13"/>
        <v>0.37259089728046008</v>
      </c>
    </row>
    <row r="21" spans="2:18" x14ac:dyDescent="0.2">
      <c r="B21" s="26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9003-9D7D-5C4C-A94E-66CE2D5E473C}">
  <sheetPr>
    <tabColor theme="8"/>
  </sheetPr>
  <dimension ref="A1:P74"/>
  <sheetViews>
    <sheetView zoomScale="120" zoomScaleNormal="120" workbookViewId="0">
      <selection activeCell="G4" sqref="G4"/>
    </sheetView>
  </sheetViews>
  <sheetFormatPr baseColWidth="10" defaultColWidth="10.83203125" defaultRowHeight="16" outlineLevelCol="1" x14ac:dyDescent="0.2"/>
  <cols>
    <col min="1" max="1" width="3.1640625" style="1" customWidth="1"/>
    <col min="2" max="2" width="13.33203125" style="1" customWidth="1"/>
    <col min="3" max="3" width="12" style="1" customWidth="1" outlineLevel="1"/>
    <col min="4" max="4" width="10.83203125" style="17" customWidth="1" outlineLevel="1"/>
    <col min="5" max="5" width="11.5" style="1" bestFit="1" customWidth="1"/>
    <col min="6" max="6" width="9.5" style="2" bestFit="1" customWidth="1"/>
    <col min="7" max="7" width="80.83203125" style="1" bestFit="1" customWidth="1"/>
    <col min="8" max="8" width="11.6640625" style="1" customWidth="1"/>
    <col min="9" max="9" width="9.1640625" style="1" customWidth="1"/>
    <col min="10" max="10" width="12.33203125" style="1" customWidth="1"/>
    <col min="11" max="11" width="11.33203125" style="1" customWidth="1"/>
    <col min="12" max="12" width="11.1640625" style="1" bestFit="1" customWidth="1"/>
    <col min="13" max="13" width="12.33203125" style="1" customWidth="1"/>
    <col min="14" max="14" width="11.83203125" style="3" bestFit="1" customWidth="1"/>
    <col min="15" max="15" width="13.1640625" style="3" bestFit="1" customWidth="1"/>
    <col min="16" max="16384" width="10.83203125" style="1"/>
  </cols>
  <sheetData>
    <row r="1" spans="1:16" ht="15" x14ac:dyDescent="0.2">
      <c r="D1" s="1"/>
      <c r="M1" s="3"/>
      <c r="O1" s="1"/>
    </row>
    <row r="2" spans="1:16" s="6" customFormat="1" ht="29" x14ac:dyDescent="0.2">
      <c r="A2" s="1"/>
      <c r="B2" s="4" t="s">
        <v>272</v>
      </c>
      <c r="C2" s="4" t="s">
        <v>0</v>
      </c>
      <c r="D2" s="4" t="s">
        <v>17</v>
      </c>
      <c r="E2" s="4" t="s">
        <v>18</v>
      </c>
      <c r="F2" s="4" t="s">
        <v>19</v>
      </c>
      <c r="G2" s="4" t="s">
        <v>20</v>
      </c>
      <c r="H2" s="5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</row>
    <row r="3" spans="1:16" ht="14" x14ac:dyDescent="0.2">
      <c r="B3" s="7" t="s">
        <v>273</v>
      </c>
      <c r="C3" s="7" t="str" cm="1">
        <f t="array" ref="C3">_xlfn.XLOOKUP(Table94[[#This Row],[Account]],Table2[[#All],[Account]],Table2[[#All],[Account Type2]])</f>
        <v>Brokerage</v>
      </c>
      <c r="D3" s="7" t="str" cm="1">
        <f t="array" ref="D3">_xlfn.XLOOKUP(Table94[[#This Row],[Account]],Table2[[#All],[Account]],Table2[[#All],[Owner]])</f>
        <v>Drew</v>
      </c>
      <c r="E3" s="7" t="s">
        <v>30</v>
      </c>
      <c r="F3" s="7" t="s">
        <v>35</v>
      </c>
      <c r="G3" s="31" t="str" cm="1">
        <f t="array" ref="G3">_xlfn.XLOOKUP(Table94[[#This Row],[Symbol]],Table36[[#All],[Symbol]],Table36[[#All],[Security Description]])</f>
        <v>APPLE INC</v>
      </c>
      <c r="H3" s="8">
        <v>41715</v>
      </c>
      <c r="I3" s="9" t="str">
        <f>Table94[[#This Row],[Symbol]]&amp;" "&amp;Table94[[#This Row],[Date Acquired]]</f>
        <v>AAPL 41715</v>
      </c>
      <c r="J3" s="7">
        <v>2</v>
      </c>
      <c r="K3" s="10">
        <f>75.8892857142857*7</f>
        <v>531.22499999999991</v>
      </c>
      <c r="L3" s="11">
        <v>43143</v>
      </c>
      <c r="M3" s="7"/>
      <c r="N3" s="7">
        <v>14</v>
      </c>
      <c r="O3" s="10">
        <f>IF(Table94[[#This Row],[Transaction]]="Closed",Table94[[#This Row],[Proceeds]]/Table94[[#This Row],[Shares Sold]],"")</f>
        <v>162.30785714285713</v>
      </c>
      <c r="P3" s="10">
        <v>2272.31</v>
      </c>
    </row>
    <row r="4" spans="1:16" ht="14" x14ac:dyDescent="0.2">
      <c r="B4" s="7" t="s">
        <v>273</v>
      </c>
      <c r="C4" s="7" t="str" cm="1">
        <f t="array" ref="C4">_xlfn.XLOOKUP(Table94[[#This Row],[Account]],Table2[[#All],[Account]],Table2[[#All],[Account Type2]])</f>
        <v>Brokerage</v>
      </c>
      <c r="D4" s="7" t="str" cm="1">
        <f t="array" ref="D4">_xlfn.XLOOKUP(Table94[[#This Row],[Account]],Table2[[#All],[Account]],Table2[[#All],[Owner]])</f>
        <v>Drew</v>
      </c>
      <c r="E4" s="7" t="s">
        <v>30</v>
      </c>
      <c r="F4" s="7" t="s">
        <v>35</v>
      </c>
      <c r="G4" s="31" t="str" cm="1">
        <f t="array" ref="G4">_xlfn.XLOOKUP(Table94[[#This Row],[Symbol]],Table36[[#All],[Symbol]],Table36[[#All],[Security Description]])</f>
        <v>APPLE INC</v>
      </c>
      <c r="H4" s="8">
        <v>41807</v>
      </c>
      <c r="I4" s="9" t="str">
        <f>Table94[[#This Row],[Symbol]]&amp;" "&amp;Table94[[#This Row],[Date Acquired]]</f>
        <v>AAPL 41807</v>
      </c>
      <c r="J4" s="7">
        <v>11</v>
      </c>
      <c r="K4" s="10">
        <v>92.897272727272721</v>
      </c>
      <c r="L4" s="11">
        <v>43143</v>
      </c>
      <c r="M4" s="7"/>
      <c r="N4" s="7">
        <v>11</v>
      </c>
      <c r="O4" s="10">
        <f>IF(Table94[[#This Row],[Transaction]]="Closed",Table94[[#This Row],[Proceeds]]/Table94[[#This Row],[Shares Sold]],"")</f>
        <v>162.30818181818182</v>
      </c>
      <c r="P4" s="10">
        <v>1785.39</v>
      </c>
    </row>
    <row r="5" spans="1:16" ht="14" x14ac:dyDescent="0.2">
      <c r="B5" s="7" t="s">
        <v>273</v>
      </c>
      <c r="C5" s="7" t="str" cm="1">
        <f t="array" ref="C5">_xlfn.XLOOKUP(Table94[[#This Row],[Account]],Table2[[#All],[Account]],Table2[[#All],[Account Type2]])</f>
        <v>Brokerage</v>
      </c>
      <c r="D5" s="7" t="str" cm="1">
        <f t="array" ref="D5">_xlfn.XLOOKUP(Table94[[#This Row],[Account]],Table2[[#All],[Account]],Table2[[#All],[Owner]])</f>
        <v>Drew</v>
      </c>
      <c r="E5" s="7" t="s">
        <v>30</v>
      </c>
      <c r="F5" s="7" t="s">
        <v>35</v>
      </c>
      <c r="G5" s="31" t="str" cm="1">
        <f t="array" ref="G5">_xlfn.XLOOKUP(Table94[[#This Row],[Symbol]],Table36[[#All],[Symbol]],Table36[[#All],[Security Description]])</f>
        <v>APPLE INC</v>
      </c>
      <c r="H5" s="8">
        <v>41807</v>
      </c>
      <c r="I5" s="9" t="str">
        <f>Table94[[#This Row],[Symbol]]&amp;" "&amp;Table94[[#This Row],[Date Acquired]]</f>
        <v>AAPL 41807</v>
      </c>
      <c r="J5" s="7">
        <f>20/4</f>
        <v>5</v>
      </c>
      <c r="K5" s="10">
        <f>23.224*4</f>
        <v>92.896000000000001</v>
      </c>
      <c r="L5" s="11">
        <v>44074</v>
      </c>
      <c r="M5" s="7"/>
      <c r="N5" s="7">
        <v>20</v>
      </c>
      <c r="O5" s="10">
        <f>IF(Table94[[#This Row],[Transaction]]="Closed",Table94[[#This Row],[Proceeds]]/Table94[[#This Row],[Shares Sold]],"")</f>
        <v>130.60750000000002</v>
      </c>
      <c r="P5" s="10">
        <v>2612.15</v>
      </c>
    </row>
    <row r="6" spans="1:16" ht="14" x14ac:dyDescent="0.2">
      <c r="B6" s="7" t="s">
        <v>273</v>
      </c>
      <c r="C6" s="7" t="str" cm="1">
        <f t="array" ref="C6">_xlfn.XLOOKUP(Table94[[#This Row],[Account]],Table2[[#All],[Account]],Table2[[#All],[Account Type2]])</f>
        <v>Brokerage</v>
      </c>
      <c r="D6" s="7" t="str" cm="1">
        <f t="array" ref="D6">_xlfn.XLOOKUP(Table94[[#This Row],[Account]],Table2[[#All],[Account]],Table2[[#All],[Owner]])</f>
        <v>Drew</v>
      </c>
      <c r="E6" s="7" t="s">
        <v>30</v>
      </c>
      <c r="F6" s="7" t="s">
        <v>35</v>
      </c>
      <c r="G6" s="31" t="str" cm="1">
        <f t="array" ref="G6">_xlfn.XLOOKUP(Table94[[#This Row],[Symbol]],Table36[[#All],[Symbol]],Table36[[#All],[Security Description]])</f>
        <v>APPLE INC</v>
      </c>
      <c r="H6" s="8">
        <v>41988</v>
      </c>
      <c r="I6" s="9" t="str">
        <f>Table94[[#This Row],[Symbol]]&amp;" "&amp;Table94[[#This Row],[Date Acquired]]</f>
        <v>AAPL 41988</v>
      </c>
      <c r="J6" s="7">
        <f>36/4</f>
        <v>9</v>
      </c>
      <c r="K6" s="10">
        <f>4*27.8233333333333</f>
        <v>111.29333333333319</v>
      </c>
      <c r="L6" s="11">
        <v>44074</v>
      </c>
      <c r="M6" s="7"/>
      <c r="N6" s="7">
        <v>36</v>
      </c>
      <c r="O6" s="10">
        <f>IF(Table94[[#This Row],[Transaction]]="Closed",Table94[[#This Row],[Proceeds]]/Table94[[#This Row],[Shares Sold]],"")</f>
        <v>130.60777777777778</v>
      </c>
      <c r="P6" s="10">
        <v>4701.88</v>
      </c>
    </row>
    <row r="7" spans="1:16" ht="14" x14ac:dyDescent="0.2">
      <c r="B7" s="7" t="s">
        <v>273</v>
      </c>
      <c r="C7" s="7" t="str" cm="1">
        <f t="array" ref="C7">_xlfn.XLOOKUP(Table94[[#This Row],[Account]],Table2[[#All],[Account]],Table2[[#All],[Account Type2]])</f>
        <v>Brokerage</v>
      </c>
      <c r="D7" s="7" t="str" cm="1">
        <f t="array" ref="D7">_xlfn.XLOOKUP(Table94[[#This Row],[Account]],Table2[[#All],[Account]],Table2[[#All],[Owner]])</f>
        <v>Drew</v>
      </c>
      <c r="E7" s="7" t="s">
        <v>45</v>
      </c>
      <c r="F7" s="7" t="s">
        <v>35</v>
      </c>
      <c r="G7" s="31" t="str" cm="1">
        <f t="array" ref="G7">_xlfn.XLOOKUP(Table94[[#This Row],[Symbol]],Table36[[#All],[Symbol]],Table36[[#All],[Security Description]])</f>
        <v>APPLE INC</v>
      </c>
      <c r="H7" s="8">
        <v>42359</v>
      </c>
      <c r="I7" s="9" t="str">
        <f>Table94[[#This Row],[Symbol]]&amp;" "&amp;Table94[[#This Row],[Date Acquired]]</f>
        <v>AAPL 42359</v>
      </c>
      <c r="J7" s="7">
        <f>18/4</f>
        <v>4.5</v>
      </c>
      <c r="K7" s="10">
        <f>4*26.83</f>
        <v>107.32</v>
      </c>
      <c r="L7" s="11"/>
      <c r="M7" s="7"/>
      <c r="N7" s="7"/>
      <c r="O7" s="10" t="str">
        <f>IF(Table94[[#This Row],[Transaction]]="Closed",Table94[[#This Row],[Proceeds]]/Table94[[#This Row],[Shares Sold]],"")</f>
        <v/>
      </c>
      <c r="P7" s="10"/>
    </row>
    <row r="8" spans="1:16" ht="14" x14ac:dyDescent="0.2">
      <c r="B8" s="7" t="s">
        <v>276</v>
      </c>
      <c r="C8" s="7" t="str" cm="1">
        <f t="array" ref="C8">_xlfn.XLOOKUP(Table94[[#This Row],[Account]],Table2[[#All],[Account]],Table2[[#All],[Account Type2]])</f>
        <v>IRA</v>
      </c>
      <c r="D8" s="7" t="str" cm="1">
        <f t="array" ref="D8">_xlfn.XLOOKUP(Table94[[#This Row],[Account]],Table2[[#All],[Account]],Table2[[#All],[Owner]])</f>
        <v>Shaun</v>
      </c>
      <c r="E8" s="7" t="s">
        <v>30</v>
      </c>
      <c r="F8" s="7" t="s">
        <v>35</v>
      </c>
      <c r="G8" s="31" t="str" cm="1">
        <f t="array" ref="G8">_xlfn.XLOOKUP(Table94[[#This Row],[Symbol]],Table36[[#All],[Symbol]],Table36[[#All],[Security Description]])</f>
        <v>APPLE INC</v>
      </c>
      <c r="H8" s="8">
        <v>42359</v>
      </c>
      <c r="I8" s="9" t="str">
        <f>Table94[[#This Row],[Symbol]]&amp;" "&amp;Table94[[#This Row],[Date Acquired]]</f>
        <v>AAPL 42359</v>
      </c>
      <c r="J8" s="7">
        <f>12/4</f>
        <v>3</v>
      </c>
      <c r="K8" s="10">
        <f>4*26.825</f>
        <v>107.3</v>
      </c>
      <c r="L8" s="11">
        <v>44074</v>
      </c>
      <c r="M8" s="7"/>
      <c r="N8" s="7">
        <v>12</v>
      </c>
      <c r="O8" s="10">
        <f>IF(Table94[[#This Row],[Transaction]]="Closed",Table94[[#This Row],[Proceeds]]/Table94[[#This Row],[Shares Sold]],"")</f>
        <v>130.60749999999999</v>
      </c>
      <c r="P8" s="10">
        <v>1567.29</v>
      </c>
    </row>
    <row r="9" spans="1:16" ht="14" x14ac:dyDescent="0.2">
      <c r="B9" s="7" t="s">
        <v>273</v>
      </c>
      <c r="C9" s="7" t="str" cm="1">
        <f t="array" ref="C9">_xlfn.XLOOKUP(Table94[[#This Row],[Account]],Table2[[#All],[Account]],Table2[[#All],[Account Type2]])</f>
        <v>Brokerage</v>
      </c>
      <c r="D9" s="7" t="str" cm="1">
        <f t="array" ref="D9">_xlfn.XLOOKUP(Table94[[#This Row],[Account]],Table2[[#All],[Account]],Table2[[#All],[Owner]])</f>
        <v>Drew</v>
      </c>
      <c r="E9" s="7" t="s">
        <v>30</v>
      </c>
      <c r="F9" s="7" t="s">
        <v>35</v>
      </c>
      <c r="G9" s="31" t="str" cm="1">
        <f t="array" ref="G9">_xlfn.XLOOKUP(Table94[[#This Row],[Symbol]],Table36[[#All],[Symbol]],Table36[[#All],[Security Description]])</f>
        <v>APPLE INC</v>
      </c>
      <c r="H9" s="8">
        <v>42359</v>
      </c>
      <c r="I9" s="9" t="str">
        <f>Table94[[#This Row],[Symbol]]&amp;" "&amp;Table94[[#This Row],[Date Acquired]]</f>
        <v>AAPL 42359</v>
      </c>
      <c r="J9" s="7">
        <f>1/4</f>
        <v>0.25</v>
      </c>
      <c r="K9" s="10">
        <f>4*26.83</f>
        <v>107.32</v>
      </c>
      <c r="L9" s="11">
        <v>45415</v>
      </c>
      <c r="M9" s="7" t="s">
        <v>48</v>
      </c>
      <c r="N9" s="7">
        <v>1</v>
      </c>
      <c r="O9" s="10">
        <f>IF(Table94[[#This Row],[Transaction]]="Closed",Table94[[#This Row],[Proceeds]]/Table94[[#This Row],[Shares Sold]],"")</f>
        <v>183.38</v>
      </c>
      <c r="P9" s="10">
        <v>183.38</v>
      </c>
    </row>
    <row r="10" spans="1:16" ht="14" x14ac:dyDescent="0.2">
      <c r="B10" s="7" t="s">
        <v>273</v>
      </c>
      <c r="C10" s="7" t="str" cm="1">
        <f t="array" ref="C10">_xlfn.XLOOKUP(Table94[[#This Row],[Account]],Table2[[#All],[Account]],Table2[[#All],[Account Type2]])</f>
        <v>Brokerage</v>
      </c>
      <c r="D10" s="7" t="str" cm="1">
        <f t="array" ref="D10">_xlfn.XLOOKUP(Table94[[#This Row],[Account]],Table2[[#All],[Account]],Table2[[#All],[Owner]])</f>
        <v>Drew</v>
      </c>
      <c r="E10" s="7" t="s">
        <v>30</v>
      </c>
      <c r="F10" s="7" t="s">
        <v>35</v>
      </c>
      <c r="G10" s="31" t="str" cm="1">
        <f t="array" ref="G10">_xlfn.XLOOKUP(Table94[[#This Row],[Symbol]],Table36[[#All],[Symbol]],Table36[[#All],[Security Description]])</f>
        <v>APPLE INC</v>
      </c>
      <c r="H10" s="8">
        <v>42359</v>
      </c>
      <c r="I10" s="9" t="str">
        <f>Table94[[#This Row],[Symbol]]&amp;" "&amp;Table94[[#This Row],[Date Acquired]]</f>
        <v>AAPL 42359</v>
      </c>
      <c r="J10" s="7">
        <f>7/4</f>
        <v>1.75</v>
      </c>
      <c r="K10" s="10">
        <f>4*26.83</f>
        <v>107.32</v>
      </c>
      <c r="L10" s="11">
        <v>45608</v>
      </c>
      <c r="M10" s="7" t="s">
        <v>48</v>
      </c>
      <c r="N10" s="7">
        <v>7</v>
      </c>
      <c r="O10" s="10">
        <f>IF(Table94[[#This Row],[Transaction]]="Closed",Table94[[#This Row],[Proceeds]]/Table94[[#This Row],[Shares Sold]],"")</f>
        <v>224.73142857142855</v>
      </c>
      <c r="P10" s="10">
        <v>1573.12</v>
      </c>
    </row>
    <row r="11" spans="1:16" ht="14" x14ac:dyDescent="0.2">
      <c r="B11" s="7" t="s">
        <v>273</v>
      </c>
      <c r="C11" s="7" t="str" cm="1">
        <f t="array" ref="C11">_xlfn.XLOOKUP(Table94[[#This Row],[Account]],Table2[[#All],[Account]],Table2[[#All],[Account Type2]])</f>
        <v>Brokerage</v>
      </c>
      <c r="D11" s="7" t="str" cm="1">
        <f t="array" ref="D11">_xlfn.XLOOKUP(Table94[[#This Row],[Account]],Table2[[#All],[Account]],Table2[[#All],[Owner]])</f>
        <v>Drew</v>
      </c>
      <c r="E11" s="7" t="s">
        <v>30</v>
      </c>
      <c r="F11" s="7" t="s">
        <v>35</v>
      </c>
      <c r="G11" s="31" t="str" cm="1">
        <f t="array" ref="G11">_xlfn.XLOOKUP(Table94[[#This Row],[Symbol]],Table36[[#All],[Symbol]],Table36[[#All],[Security Description]])</f>
        <v>APPLE INC</v>
      </c>
      <c r="H11" s="8">
        <v>42359</v>
      </c>
      <c r="I11" s="9" t="str">
        <f>Table94[[#This Row],[Symbol]]&amp;" "&amp;Table94[[#This Row],[Date Acquired]]</f>
        <v>AAPL 42359</v>
      </c>
      <c r="J11" s="7">
        <f>22/4</f>
        <v>5.5</v>
      </c>
      <c r="K11" s="10">
        <f>4*26.83</f>
        <v>107.32</v>
      </c>
      <c r="L11" s="11">
        <v>45698</v>
      </c>
      <c r="M11" s="7"/>
      <c r="N11" s="7">
        <f>Table94[[#This Row],[Shares Bought]]</f>
        <v>5.5</v>
      </c>
      <c r="O11" s="10">
        <v>229.405</v>
      </c>
      <c r="P11" s="10">
        <v>5046.91</v>
      </c>
    </row>
    <row r="12" spans="1:16" ht="14" x14ac:dyDescent="0.2">
      <c r="B12" s="7" t="s">
        <v>276</v>
      </c>
      <c r="C12" s="7" t="str" cm="1">
        <f t="array" ref="C12">_xlfn.XLOOKUP(Table94[[#This Row],[Account]],Table2[[#All],[Account]],Table2[[#All],[Account Type2]])</f>
        <v>IRA</v>
      </c>
      <c r="D12" s="7" t="str" cm="1">
        <f t="array" ref="D12">_xlfn.XLOOKUP(Table94[[#This Row],[Account]],Table2[[#All],[Account]],Table2[[#All],[Owner]])</f>
        <v>Shaun</v>
      </c>
      <c r="E12" s="7" t="s">
        <v>45</v>
      </c>
      <c r="F12" s="7" t="s">
        <v>35</v>
      </c>
      <c r="G12" s="31" t="str" cm="1">
        <f t="array" ref="G12">_xlfn.XLOOKUP(Table94[[#This Row],[Symbol]],Table36[[#All],[Symbol]],Table36[[#All],[Security Description]])</f>
        <v>APPLE INC</v>
      </c>
      <c r="H12" s="8">
        <v>43837</v>
      </c>
      <c r="I12" s="9" t="str">
        <f>Table94[[#This Row],[Symbol]]&amp;" "&amp;Table94[[#This Row],[Date Acquired]]</f>
        <v>AAPL 43837</v>
      </c>
      <c r="J12" s="7">
        <f>32/4</f>
        <v>8</v>
      </c>
      <c r="K12" s="10">
        <f>4*74.93</f>
        <v>299.72000000000003</v>
      </c>
      <c r="L12" s="11"/>
      <c r="M12" s="7"/>
      <c r="N12" s="7"/>
      <c r="O12" s="10" t="str">
        <f>IF(Table94[[#This Row],[Transaction]]="Closed",Table94[[#This Row],[Proceeds]]/Table94[[#This Row],[Shares Sold]],"")</f>
        <v/>
      </c>
      <c r="P12" s="10"/>
    </row>
    <row r="13" spans="1:16" ht="14" x14ac:dyDescent="0.2">
      <c r="B13" s="7" t="s">
        <v>273</v>
      </c>
      <c r="C13" s="7" t="str" cm="1">
        <f t="array" ref="C13">_xlfn.XLOOKUP(Table94[[#This Row],[Account]],Table2[[#All],[Account]],Table2[[#All],[Account Type2]])</f>
        <v>Brokerage</v>
      </c>
      <c r="D13" s="7" t="str" cm="1">
        <f t="array" ref="D13">_xlfn.XLOOKUP(Table94[[#This Row],[Account]],Table2[[#All],[Account]],Table2[[#All],[Owner]])</f>
        <v>Drew</v>
      </c>
      <c r="E13" s="7" t="s">
        <v>45</v>
      </c>
      <c r="F13" s="7" t="s">
        <v>35</v>
      </c>
      <c r="G13" s="31" t="str" cm="1">
        <f t="array" ref="G13">_xlfn.XLOOKUP(Table94[[#This Row],[Symbol]],Table36[[#All],[Symbol]],Table36[[#All],[Security Description]])</f>
        <v>APPLE INC</v>
      </c>
      <c r="H13" s="8">
        <v>44365</v>
      </c>
      <c r="I13" s="9" t="str">
        <f>Table94[[#This Row],[Symbol]]&amp;" "&amp;Table94[[#This Row],[Date Acquired]]</f>
        <v>AAPL 44365</v>
      </c>
      <c r="J13" s="7">
        <v>0.76300000000000001</v>
      </c>
      <c r="K13" s="10">
        <v>130.96</v>
      </c>
      <c r="L13" s="11"/>
      <c r="M13" s="7"/>
      <c r="N13" s="7"/>
      <c r="O13" s="10" t="str">
        <f>IF(Table94[[#This Row],[Transaction]]="Closed",Table94[[#This Row],[Proceeds]]/Table94[[#This Row],[Shares Sold]],"")</f>
        <v/>
      </c>
      <c r="P13" s="10"/>
    </row>
    <row r="14" spans="1:16" ht="14" x14ac:dyDescent="0.2">
      <c r="B14" s="7" t="s">
        <v>276</v>
      </c>
      <c r="C14" s="7" t="str" cm="1">
        <f t="array" ref="C14">_xlfn.XLOOKUP(Table94[[#This Row],[Account]],Table2[[#All],[Account]],Table2[[#All],[Account Type2]])</f>
        <v>IRA</v>
      </c>
      <c r="D14" s="7" t="str" cm="1">
        <f t="array" ref="D14">_xlfn.XLOOKUP(Table94[[#This Row],[Account]],Table2[[#All],[Account]],Table2[[#All],[Owner]])</f>
        <v>Shaun</v>
      </c>
      <c r="E14" s="7" t="s">
        <v>45</v>
      </c>
      <c r="F14" s="7" t="s">
        <v>35</v>
      </c>
      <c r="G14" s="31" t="str" cm="1">
        <f t="array" ref="G14">_xlfn.XLOOKUP(Table94[[#This Row],[Symbol]],Table36[[#All],[Symbol]],Table36[[#All],[Security Description]])</f>
        <v>APPLE INC</v>
      </c>
      <c r="H14" s="8">
        <v>44657</v>
      </c>
      <c r="I14" s="9" t="str">
        <f>Table94[[#This Row],[Symbol]]&amp;" "&amp;Table94[[#This Row],[Date Acquired]]</f>
        <v>AAPL 44657</v>
      </c>
      <c r="J14" s="7">
        <v>29.268999999999998</v>
      </c>
      <c r="K14" s="10">
        <v>170.82</v>
      </c>
      <c r="L14" s="11"/>
      <c r="M14" s="7"/>
      <c r="N14" s="7"/>
      <c r="O14" s="10" t="str">
        <f>IF(Table94[[#This Row],[Transaction]]="Closed",Table94[[#This Row],[Proceeds]]/Table94[[#This Row],[Shares Sold]],"")</f>
        <v/>
      </c>
      <c r="P14" s="10"/>
    </row>
    <row r="15" spans="1:16" ht="14" x14ac:dyDescent="0.2">
      <c r="B15" s="7" t="s">
        <v>273</v>
      </c>
      <c r="C15" s="7" t="str" cm="1">
        <f t="array" ref="C15">_xlfn.XLOOKUP(Table94[[#This Row],[Account]],Table2[[#All],[Account]],Table2[[#All],[Account Type2]])</f>
        <v>Brokerage</v>
      </c>
      <c r="D15" s="7" t="str" cm="1">
        <f t="array" ref="D15">_xlfn.XLOOKUP(Table94[[#This Row],[Account]],Table2[[#All],[Account]],Table2[[#All],[Owner]])</f>
        <v>Drew</v>
      </c>
      <c r="E15" s="7" t="s">
        <v>45</v>
      </c>
      <c r="F15" s="7" t="s">
        <v>35</v>
      </c>
      <c r="G15" s="31" t="str" cm="1">
        <f t="array" ref="G15">_xlfn.XLOOKUP(Table94[[#This Row],[Symbol]],Table36[[#All],[Symbol]],Table36[[#All],[Security Description]])</f>
        <v>APPLE INC</v>
      </c>
      <c r="H15" s="8">
        <v>44683</v>
      </c>
      <c r="I15" s="9" t="str">
        <f>Table94[[#This Row],[Symbol]]&amp;" "&amp;Table94[[#This Row],[Date Acquired]]</f>
        <v>AAPL 44683</v>
      </c>
      <c r="J15" s="7">
        <f>32.491</f>
        <v>32.491</v>
      </c>
      <c r="K15" s="10">
        <v>153.88499999999999</v>
      </c>
      <c r="L15" s="11"/>
      <c r="M15" s="7"/>
      <c r="N15" s="7"/>
      <c r="O15" s="10" t="str">
        <f>IF(Table94[[#This Row],[Transaction]]="Closed",Table94[[#This Row],[Proceeds]]/Table94[[#This Row],[Shares Sold]],"")</f>
        <v/>
      </c>
      <c r="P15" s="10"/>
    </row>
    <row r="16" spans="1:16" ht="14" x14ac:dyDescent="0.2">
      <c r="B16" s="7" t="s">
        <v>273</v>
      </c>
      <c r="C16" s="7" t="str" cm="1">
        <f t="array" ref="C16">_xlfn.XLOOKUP(Table94[[#This Row],[Account]],Table2[[#All],[Account]],Table2[[#All],[Account Type2]])</f>
        <v>Brokerage</v>
      </c>
      <c r="D16" s="7" t="str" cm="1">
        <f t="array" ref="D16">_xlfn.XLOOKUP(Table94[[#This Row],[Account]],Table2[[#All],[Account]],Table2[[#All],[Owner]])</f>
        <v>Drew</v>
      </c>
      <c r="E16" s="7" t="s">
        <v>45</v>
      </c>
      <c r="F16" s="7" t="s">
        <v>35</v>
      </c>
      <c r="G16" s="31" t="str" cm="1">
        <f t="array" ref="G16">_xlfn.XLOOKUP(Table94[[#This Row],[Symbol]],Table36[[#All],[Symbol]],Table36[[#All],[Security Description]])</f>
        <v>APPLE INC</v>
      </c>
      <c r="H16" s="8">
        <v>45022</v>
      </c>
      <c r="I16" s="9" t="str">
        <f>Table94[[#This Row],[Symbol]]&amp;" "&amp;Table94[[#This Row],[Date Acquired]]</f>
        <v>AAPL 45022</v>
      </c>
      <c r="J16" s="7">
        <v>0.152</v>
      </c>
      <c r="K16" s="10">
        <v>164.47</v>
      </c>
      <c r="L16" s="11"/>
      <c r="M16" s="7"/>
      <c r="N16" s="7"/>
      <c r="O16" s="10" t="str">
        <f>IF(Table94[[#This Row],[Transaction]]="Closed",Table94[[#This Row],[Proceeds]]/Table94[[#This Row],[Shares Sold]],"")</f>
        <v/>
      </c>
      <c r="P16" s="10"/>
    </row>
    <row r="17" spans="2:16" ht="14" x14ac:dyDescent="0.2">
      <c r="B17" s="7" t="s">
        <v>273</v>
      </c>
      <c r="C17" s="7" t="str" cm="1">
        <f t="array" ref="C17">_xlfn.XLOOKUP(Table94[[#This Row],[Account]],Table2[[#All],[Account]],Table2[[#All],[Account Type2]])</f>
        <v>Brokerage</v>
      </c>
      <c r="D17" s="7" t="str" cm="1">
        <f t="array" ref="D17">_xlfn.XLOOKUP(Table94[[#This Row],[Account]],Table2[[#All],[Account]],Table2[[#All],[Owner]])</f>
        <v>Drew</v>
      </c>
      <c r="E17" s="7" t="s">
        <v>45</v>
      </c>
      <c r="F17" s="7" t="s">
        <v>35</v>
      </c>
      <c r="G17" s="31" t="str" cm="1">
        <f t="array" ref="G17">_xlfn.XLOOKUP(Table94[[#This Row],[Symbol]],Table36[[#All],[Symbol]],Table36[[#All],[Security Description]])</f>
        <v>APPLE INC</v>
      </c>
      <c r="H17" s="8">
        <v>45079</v>
      </c>
      <c r="I17" s="9" t="str">
        <f>Table94[[#This Row],[Symbol]]&amp;" "&amp;Table94[[#This Row],[Date Acquired]]</f>
        <v>AAPL 45079</v>
      </c>
      <c r="J17" s="7">
        <v>0.13800000000000001</v>
      </c>
      <c r="K17" s="10">
        <v>180.94</v>
      </c>
      <c r="L17" s="11"/>
      <c r="M17" s="7"/>
      <c r="N17" s="7"/>
      <c r="O17" s="10" t="str">
        <f>IF(Table94[[#This Row],[Transaction]]="Closed",Table94[[#This Row],[Proceeds]]/Table94[[#This Row],[Shares Sold]],"")</f>
        <v/>
      </c>
      <c r="P17" s="10"/>
    </row>
    <row r="18" spans="2:16" ht="14" x14ac:dyDescent="0.2">
      <c r="B18" s="7" t="s">
        <v>273</v>
      </c>
      <c r="C18" s="7" t="str" cm="1">
        <f t="array" ref="C18">_xlfn.XLOOKUP(Table94[[#This Row],[Account]],Table2[[#All],[Account]],Table2[[#All],[Account Type2]])</f>
        <v>Brokerage</v>
      </c>
      <c r="D18" s="7" t="str" cm="1">
        <f t="array" ref="D18">_xlfn.XLOOKUP(Table94[[#This Row],[Account]],Table2[[#All],[Account]],Table2[[#All],[Owner]])</f>
        <v>Drew</v>
      </c>
      <c r="E18" s="7" t="s">
        <v>45</v>
      </c>
      <c r="F18" s="7" t="s">
        <v>35</v>
      </c>
      <c r="G18" s="31" t="str" cm="1">
        <f t="array" ref="G18">_xlfn.XLOOKUP(Table94[[#This Row],[Symbol]],Table36[[#All],[Symbol]],Table36[[#All],[Security Description]])</f>
        <v>APPLE INC</v>
      </c>
      <c r="H18" s="8">
        <v>45215</v>
      </c>
      <c r="I18" s="9" t="str">
        <f>Table94[[#This Row],[Symbol]]&amp;" "&amp;Table94[[#This Row],[Date Acquired]]</f>
        <v>AAPL 45215</v>
      </c>
      <c r="J18" s="7">
        <v>0.252</v>
      </c>
      <c r="K18" s="10">
        <v>177.976</v>
      </c>
      <c r="L18" s="11"/>
      <c r="M18" s="7"/>
      <c r="N18" s="7"/>
      <c r="O18" s="10" t="str">
        <f>IF(Table94[[#This Row],[Transaction]]="Closed",Table94[[#This Row],[Proceeds]]/Table94[[#This Row],[Shares Sold]],"")</f>
        <v/>
      </c>
      <c r="P18" s="10"/>
    </row>
    <row r="19" spans="2:16" ht="14" x14ac:dyDescent="0.2">
      <c r="B19" s="7" t="s">
        <v>273</v>
      </c>
      <c r="C19" s="7" t="str" cm="1">
        <f t="array" ref="C19">_xlfn.XLOOKUP(Table94[[#This Row],[Account]],Table2[[#All],[Account]],Table2[[#All],[Account Type2]])</f>
        <v>Brokerage</v>
      </c>
      <c r="D19" s="7" t="str" cm="1">
        <f t="array" ref="D19">_xlfn.XLOOKUP(Table94[[#This Row],[Account]],Table2[[#All],[Account]],Table2[[#All],[Owner]])</f>
        <v>Drew</v>
      </c>
      <c r="E19" s="7" t="s">
        <v>45</v>
      </c>
      <c r="F19" s="7" t="s">
        <v>35</v>
      </c>
      <c r="G19" s="31" t="str" cm="1">
        <f t="array" ref="G19">_xlfn.XLOOKUP(Table94[[#This Row],[Symbol]],Table36[[#All],[Symbol]],Table36[[#All],[Security Description]])</f>
        <v>APPLE INC</v>
      </c>
      <c r="H19" s="8">
        <v>45481</v>
      </c>
      <c r="I19" s="9" t="str">
        <f>Table94[[#This Row],[Symbol]]&amp;" "&amp;Table94[[#This Row],[Date Acquired]]</f>
        <v>AAPL 45481</v>
      </c>
      <c r="J19" s="7">
        <v>22</v>
      </c>
      <c r="K19" s="10">
        <v>225.52</v>
      </c>
      <c r="L19" s="11"/>
      <c r="M19" s="7"/>
      <c r="N19" s="7"/>
      <c r="O19" s="10" t="str">
        <f>IF(Table94[[#This Row],[Transaction]]="Closed",Table94[[#This Row],[Proceeds]]/Table94[[#This Row],[Shares Sold]],"")</f>
        <v/>
      </c>
      <c r="P19" s="10"/>
    </row>
    <row r="20" spans="2:16" ht="14" x14ac:dyDescent="0.2">
      <c r="B20" s="7" t="s">
        <v>276</v>
      </c>
      <c r="C20" s="7" t="str" cm="1">
        <f t="array" ref="C20">_xlfn.XLOOKUP(Table94[[#This Row],[Account]],Table2[[#All],[Account]],Table2[[#All],[Account Type2]])</f>
        <v>IRA</v>
      </c>
      <c r="D20" s="7" t="str" cm="1">
        <f t="array" ref="D20">_xlfn.XLOOKUP(Table94[[#This Row],[Account]],Table2[[#All],[Account]],Table2[[#All],[Owner]])</f>
        <v>Shaun</v>
      </c>
      <c r="E20" s="7" t="s">
        <v>45</v>
      </c>
      <c r="F20" s="7" t="s">
        <v>46</v>
      </c>
      <c r="G20" s="31" t="str" cm="1">
        <f t="array" ref="G20">_xlfn.XLOOKUP(Table94[[#This Row],[Symbol]],Table36[[#All],[Symbol]],Table36[[#All],[Security Description]])</f>
        <v>NETFLIX INC</v>
      </c>
      <c r="H20" s="8">
        <v>41758</v>
      </c>
      <c r="I20" s="9" t="str">
        <f>Table94[[#This Row],[Symbol]]&amp;" "&amp;Table94[[#This Row],[Date Acquired]]</f>
        <v>NFLX 41758</v>
      </c>
      <c r="J20" s="7">
        <v>1</v>
      </c>
      <c r="K20" s="10">
        <f>70*4.498</f>
        <v>314.86</v>
      </c>
      <c r="L20" s="11"/>
      <c r="M20" s="7"/>
      <c r="N20" s="7"/>
      <c r="O20" s="10" t="str">
        <f>IF(Table94[[#This Row],[Transaction]]="Closed",Table94[[#This Row],[Proceeds]]/Table94[[#This Row],[Shares Sold]],"")</f>
        <v/>
      </c>
      <c r="P20" s="10"/>
    </row>
    <row r="21" spans="2:16" ht="14" x14ac:dyDescent="0.2">
      <c r="B21" s="7" t="s">
        <v>276</v>
      </c>
      <c r="C21" s="7" t="str" cm="1">
        <f t="array" ref="C21">_xlfn.XLOOKUP(Table94[[#This Row],[Account]],Table2[[#All],[Account]],Table2[[#All],[Account Type2]])</f>
        <v>IRA</v>
      </c>
      <c r="D21" s="7" t="str" cm="1">
        <f t="array" ref="D21">_xlfn.XLOOKUP(Table94[[#This Row],[Account]],Table2[[#All],[Account]],Table2[[#All],[Owner]])</f>
        <v>Shaun</v>
      </c>
      <c r="E21" s="7" t="s">
        <v>30</v>
      </c>
      <c r="F21" s="7" t="s">
        <v>46</v>
      </c>
      <c r="G21" s="31" t="str" cm="1">
        <f t="array" ref="G21">_xlfn.XLOOKUP(Table94[[#This Row],[Symbol]],Table36[[#All],[Symbol]],Table36[[#All],[Security Description]])</f>
        <v>NETFLIX INC</v>
      </c>
      <c r="H21" s="8">
        <v>41758</v>
      </c>
      <c r="I21" s="9" t="str">
        <f>Table94[[#This Row],[Symbol]]&amp;" "&amp;Table94[[#This Row],[Date Acquired]]</f>
        <v>NFLX 41758</v>
      </c>
      <c r="J21" s="7">
        <f>5/7</f>
        <v>0.7142857142857143</v>
      </c>
      <c r="K21" s="10">
        <f>7*44.98</f>
        <v>314.85999999999996</v>
      </c>
      <c r="L21" s="11">
        <v>43143</v>
      </c>
      <c r="M21" s="7"/>
      <c r="N21" s="7">
        <v>5</v>
      </c>
      <c r="O21" s="10">
        <f>IF(Table94[[#This Row],[Transaction]]="Closed",Table94[[#This Row],[Proceeds]]/Table94[[#This Row],[Shares Sold]],"")</f>
        <v>255.148</v>
      </c>
      <c r="P21" s="10">
        <v>1275.74</v>
      </c>
    </row>
    <row r="22" spans="2:16" ht="14" x14ac:dyDescent="0.2">
      <c r="B22" s="7" t="s">
        <v>276</v>
      </c>
      <c r="C22" s="7" t="str" cm="1">
        <f t="array" ref="C22">_xlfn.XLOOKUP(Table94[[#This Row],[Account]],Table2[[#All],[Account]],Table2[[#All],[Account Type2]])</f>
        <v>IRA</v>
      </c>
      <c r="D22" s="7" t="str" cm="1">
        <f t="array" ref="D22">_xlfn.XLOOKUP(Table94[[#This Row],[Account]],Table2[[#All],[Account]],Table2[[#All],[Owner]])</f>
        <v>Shaun</v>
      </c>
      <c r="E22" s="7" t="s">
        <v>30</v>
      </c>
      <c r="F22" s="7" t="s">
        <v>46</v>
      </c>
      <c r="G22" s="31" t="str" cm="1">
        <f t="array" ref="G22">_xlfn.XLOOKUP(Table94[[#This Row],[Symbol]],Table36[[#All],[Symbol]],Table36[[#All],[Security Description]])</f>
        <v>NETFLIX INC</v>
      </c>
      <c r="H22" s="8">
        <v>41758</v>
      </c>
      <c r="I22" s="9" t="str">
        <f>Table94[[#This Row],[Symbol]]&amp;" "&amp;Table94[[#This Row],[Date Acquired]]</f>
        <v>NFLX 41758</v>
      </c>
      <c r="J22" s="7">
        <f>2/7</f>
        <v>0.2857142857142857</v>
      </c>
      <c r="K22" s="10">
        <f>7*44.98</f>
        <v>314.85999999999996</v>
      </c>
      <c r="L22" s="11">
        <v>44406</v>
      </c>
      <c r="M22" s="7" t="s">
        <v>48</v>
      </c>
      <c r="N22" s="7">
        <v>2</v>
      </c>
      <c r="O22" s="10">
        <f>IF(Table94[[#This Row],[Transaction]]="Closed",Table94[[#This Row],[Proceeds]]/Table94[[#This Row],[Shares Sold]],"")</f>
        <v>514.25</v>
      </c>
      <c r="P22" s="10">
        <v>1028.5</v>
      </c>
    </row>
    <row r="23" spans="2:16" ht="14" x14ac:dyDescent="0.2">
      <c r="B23" s="7" t="s">
        <v>276</v>
      </c>
      <c r="C23" s="7" t="str" cm="1">
        <f t="array" ref="C23">_xlfn.XLOOKUP(Table94[[#This Row],[Account]],Table2[[#All],[Account]],Table2[[#All],[Account Type2]])</f>
        <v>IRA</v>
      </c>
      <c r="D23" s="7" t="str" cm="1">
        <f t="array" ref="D23">_xlfn.XLOOKUP(Table94[[#This Row],[Account]],Table2[[#All],[Account]],Table2[[#All],[Owner]])</f>
        <v>Shaun</v>
      </c>
      <c r="E23" s="7" t="s">
        <v>30</v>
      </c>
      <c r="F23" s="7" t="s">
        <v>46</v>
      </c>
      <c r="G23" s="31" t="str" cm="1">
        <f t="array" ref="G23">_xlfn.XLOOKUP(Table94[[#This Row],[Symbol]],Table36[[#All],[Symbol]],Table36[[#All],[Security Description]])</f>
        <v>NETFLIX INC</v>
      </c>
      <c r="H23" s="8">
        <v>41758</v>
      </c>
      <c r="I23" s="9" t="str">
        <f>Table94[[#This Row],[Symbol]]&amp;" "&amp;Table94[[#This Row],[Date Acquired]]</f>
        <v>NFLX 41758</v>
      </c>
      <c r="J23" s="7">
        <f>2/7</f>
        <v>0.2857142857142857</v>
      </c>
      <c r="K23" s="10">
        <f>7*44.98</f>
        <v>314.85999999999996</v>
      </c>
      <c r="L23" s="11">
        <v>44564</v>
      </c>
      <c r="M23" s="7" t="s">
        <v>48</v>
      </c>
      <c r="N23" s="7">
        <v>2</v>
      </c>
      <c r="O23" s="10">
        <f>IF(Table94[[#This Row],[Transaction]]="Closed",Table94[[#This Row],[Proceeds]]/Table94[[#This Row],[Shares Sold]],"")</f>
        <v>597.37</v>
      </c>
      <c r="P23" s="10">
        <v>1194.74</v>
      </c>
    </row>
    <row r="24" spans="2:16" ht="14" x14ac:dyDescent="0.2">
      <c r="B24" s="7" t="s">
        <v>276</v>
      </c>
      <c r="C24" s="7" t="str" cm="1">
        <f t="array" ref="C24">_xlfn.XLOOKUP(Table94[[#This Row],[Account]],Table2[[#All],[Account]],Table2[[#All],[Account Type2]])</f>
        <v>IRA</v>
      </c>
      <c r="D24" s="7" t="str" cm="1">
        <f t="array" ref="D24">_xlfn.XLOOKUP(Table94[[#This Row],[Account]],Table2[[#All],[Account]],Table2[[#All],[Owner]])</f>
        <v>Shaun</v>
      </c>
      <c r="E24" s="7" t="s">
        <v>30</v>
      </c>
      <c r="F24" s="7" t="s">
        <v>46</v>
      </c>
      <c r="G24" s="31" t="str" cm="1">
        <f t="array" ref="G24">_xlfn.XLOOKUP(Table94[[#This Row],[Symbol]],Table36[[#All],[Symbol]],Table36[[#All],[Security Description]])</f>
        <v>NETFLIX INC</v>
      </c>
      <c r="H24" s="8">
        <v>41758</v>
      </c>
      <c r="I24" s="9" t="str">
        <f>Table94[[#This Row],[Symbol]]&amp;" "&amp;Table94[[#This Row],[Date Acquired]]</f>
        <v>NFLX 41758</v>
      </c>
      <c r="J24" s="7">
        <f>2/7</f>
        <v>0.2857142857142857</v>
      </c>
      <c r="K24" s="10">
        <f>7*44.98</f>
        <v>314.85999999999996</v>
      </c>
      <c r="L24" s="11">
        <v>45148</v>
      </c>
      <c r="M24" s="7" t="s">
        <v>48</v>
      </c>
      <c r="N24" s="7">
        <v>2</v>
      </c>
      <c r="O24" s="10">
        <v>429.98</v>
      </c>
      <c r="P24" s="10">
        <v>859.96</v>
      </c>
    </row>
    <row r="25" spans="2:16" ht="14" x14ac:dyDescent="0.2">
      <c r="B25" s="7" t="s">
        <v>276</v>
      </c>
      <c r="C25" s="7" t="str" cm="1">
        <f t="array" ref="C25">_xlfn.XLOOKUP(Table94[[#This Row],[Account]],Table2[[#All],[Account]],Table2[[#All],[Account Type2]])</f>
        <v>IRA</v>
      </c>
      <c r="D25" s="7" t="str" cm="1">
        <f t="array" ref="D25">_xlfn.XLOOKUP(Table94[[#This Row],[Account]],Table2[[#All],[Account]],Table2[[#All],[Owner]])</f>
        <v>Shaun</v>
      </c>
      <c r="E25" s="7" t="s">
        <v>30</v>
      </c>
      <c r="F25" s="7" t="s">
        <v>46</v>
      </c>
      <c r="G25" s="31" t="str" cm="1">
        <f t="array" ref="G25">_xlfn.XLOOKUP(Table94[[#This Row],[Symbol]],Table36[[#All],[Symbol]],Table36[[#All],[Security Description]])</f>
        <v>NETFLIX INC</v>
      </c>
      <c r="H25" s="8">
        <v>41758</v>
      </c>
      <c r="I25" s="9" t="str">
        <f>Table94[[#This Row],[Symbol]]&amp;" "&amp;Table94[[#This Row],[Date Acquired]]</f>
        <v>NFLX 41758</v>
      </c>
      <c r="J25" s="7">
        <f>2/7</f>
        <v>0.2857142857142857</v>
      </c>
      <c r="K25" s="10">
        <f>7*44.98</f>
        <v>314.85999999999996</v>
      </c>
      <c r="L25" s="11">
        <v>45608</v>
      </c>
      <c r="M25" s="7" t="s">
        <v>48</v>
      </c>
      <c r="N25" s="7">
        <v>2</v>
      </c>
      <c r="O25" s="10">
        <f>IF(Table94[[#This Row],[Transaction]]="Closed",Table94[[#This Row],[Proceeds]]/Table94[[#This Row],[Shares Sold]],"")</f>
        <v>812.60500000000002</v>
      </c>
      <c r="P25" s="10">
        <v>1625.21</v>
      </c>
    </row>
    <row r="26" spans="2:16" ht="14" x14ac:dyDescent="0.2">
      <c r="B26" s="7" t="s">
        <v>276</v>
      </c>
      <c r="C26" s="7" t="str" cm="1">
        <f t="array" ref="C26">_xlfn.XLOOKUP(Table94[[#This Row],[Account]],Table2[[#All],[Account]],Table2[[#All],[Account Type2]])</f>
        <v>IRA</v>
      </c>
      <c r="D26" s="7" t="str" cm="1">
        <f t="array" ref="D26">_xlfn.XLOOKUP(Table94[[#This Row],[Account]],Table2[[#All],[Account]],Table2[[#All],[Owner]])</f>
        <v>Shaun</v>
      </c>
      <c r="E26" s="7" t="s">
        <v>30</v>
      </c>
      <c r="F26" s="7" t="s">
        <v>46</v>
      </c>
      <c r="G26" s="31" t="str" cm="1">
        <f t="array" ref="G26">_xlfn.XLOOKUP(Table94[[#This Row],[Symbol]],Table36[[#All],[Symbol]],Table36[[#All],[Security Description]])</f>
        <v>NETFLIX INC</v>
      </c>
      <c r="H26" s="8">
        <v>41758</v>
      </c>
      <c r="I26" s="9" t="str">
        <f>Table94[[#This Row],[Symbol]]&amp;" "&amp;Table94[[#This Row],[Date Acquired]]</f>
        <v>NFLX 41758</v>
      </c>
      <c r="J26" s="7">
        <f>1/7</f>
        <v>0.14285714285714285</v>
      </c>
      <c r="K26" s="10">
        <f>7*44.98</f>
        <v>314.85999999999996</v>
      </c>
      <c r="L26" s="11">
        <v>45680</v>
      </c>
      <c r="M26" s="7" t="s">
        <v>48</v>
      </c>
      <c r="N26" s="7">
        <v>1</v>
      </c>
      <c r="O26" s="10">
        <f>IF(Table94[[#This Row],[Transaction]]="Closed",Table94[[#This Row],[Proceeds]]/Table94[[#This Row],[Shares Sold]],"")</f>
        <v>984.86</v>
      </c>
      <c r="P26" s="10">
        <v>984.86</v>
      </c>
    </row>
    <row r="27" spans="2:16" ht="14" x14ac:dyDescent="0.2">
      <c r="B27" s="7" t="s">
        <v>276</v>
      </c>
      <c r="C27" s="7" t="str" cm="1">
        <f t="array" ref="C27">_xlfn.XLOOKUP(Table94[[#This Row],[Account]],Table2[[#All],[Account]],Table2[[#All],[Account Type2]])</f>
        <v>IRA</v>
      </c>
      <c r="D27" s="7" t="str" cm="1">
        <f t="array" ref="D27">_xlfn.XLOOKUP(Table94[[#This Row],[Account]],Table2[[#All],[Account]],Table2[[#All],[Owner]])</f>
        <v>Shaun</v>
      </c>
      <c r="E27" s="7" t="s">
        <v>45</v>
      </c>
      <c r="F27" s="7" t="s">
        <v>46</v>
      </c>
      <c r="G27" s="31" t="str" cm="1">
        <f t="array" ref="G27">_xlfn.XLOOKUP(Table94[[#This Row],[Symbol]],Table36[[#All],[Symbol]],Table36[[#All],[Security Description]])</f>
        <v>NETFLIX INC</v>
      </c>
      <c r="H27" s="8">
        <v>41807</v>
      </c>
      <c r="I27" s="9" t="str">
        <f>Table94[[#This Row],[Symbol]]&amp;" "&amp;Table94[[#This Row],[Date Acquired]]</f>
        <v>NFLX 41807</v>
      </c>
      <c r="J27" s="7">
        <f>10/70</f>
        <v>0.14285714285714285</v>
      </c>
      <c r="K27" s="10">
        <f>70*6.314</f>
        <v>441.98</v>
      </c>
      <c r="L27" s="11"/>
      <c r="M27" s="7"/>
      <c r="N27" s="7"/>
      <c r="O27" s="10" t="str">
        <f>IF(Table94[[#This Row],[Transaction]]="Closed",Table94[[#This Row],[Proceeds]]/Table94[[#This Row],[Shares Sold]],"")</f>
        <v/>
      </c>
      <c r="P27" s="10"/>
    </row>
    <row r="28" spans="2:16" ht="14" x14ac:dyDescent="0.2">
      <c r="B28" s="7" t="s">
        <v>276</v>
      </c>
      <c r="C28" s="7" t="str" cm="1">
        <f t="array" ref="C28">_xlfn.XLOOKUP(Table94[[#This Row],[Account]],Table2[[#All],[Account]],Table2[[#All],[Account Type2]])</f>
        <v>IRA</v>
      </c>
      <c r="D28" s="7" t="str" cm="1">
        <f t="array" ref="D28">_xlfn.XLOOKUP(Table94[[#This Row],[Account]],Table2[[#All],[Account]],Table2[[#All],[Owner]])</f>
        <v>Shaun</v>
      </c>
      <c r="E28" s="7" t="s">
        <v>30</v>
      </c>
      <c r="F28" s="7" t="s">
        <v>46</v>
      </c>
      <c r="G28" s="31" t="str" cm="1">
        <f t="array" ref="G28">_xlfn.XLOOKUP(Table94[[#This Row],[Symbol]],Table36[[#All],[Symbol]],Table36[[#All],[Security Description]])</f>
        <v>NETFLIX INC</v>
      </c>
      <c r="H28" s="8">
        <v>41807</v>
      </c>
      <c r="I28" s="9" t="str">
        <f>Table94[[#This Row],[Symbol]]&amp;" "&amp;Table94[[#This Row],[Date Acquired]]</f>
        <v>NFLX 41807</v>
      </c>
      <c r="J28" s="7">
        <f>3/7</f>
        <v>0.42857142857142855</v>
      </c>
      <c r="K28" s="10">
        <f>7*63.14</f>
        <v>441.98</v>
      </c>
      <c r="L28" s="11">
        <v>44074</v>
      </c>
      <c r="M28" s="7"/>
      <c r="N28" s="7">
        <v>3</v>
      </c>
      <c r="O28" s="10">
        <f>IF(Table94[[#This Row],[Transaction]]="Closed",Table94[[#This Row],[Proceeds]]/Table94[[#This Row],[Shares Sold]],"")</f>
        <v>522.91666666666663</v>
      </c>
      <c r="P28" s="10">
        <v>1568.75</v>
      </c>
    </row>
    <row r="29" spans="2:16" ht="14" x14ac:dyDescent="0.2">
      <c r="B29" s="7" t="s">
        <v>276</v>
      </c>
      <c r="C29" s="7" t="str" cm="1">
        <f t="array" ref="C29">_xlfn.XLOOKUP(Table94[[#This Row],[Account]],Table2[[#All],[Account]],Table2[[#All],[Account Type2]])</f>
        <v>IRA</v>
      </c>
      <c r="D29" s="7" t="str" cm="1">
        <f t="array" ref="D29">_xlfn.XLOOKUP(Table94[[#This Row],[Account]],Table2[[#All],[Account]],Table2[[#All],[Owner]])</f>
        <v>Shaun</v>
      </c>
      <c r="E29" s="7" t="s">
        <v>30</v>
      </c>
      <c r="F29" s="7" t="s">
        <v>46</v>
      </c>
      <c r="G29" s="31" t="str" cm="1">
        <f t="array" ref="G29">_xlfn.XLOOKUP(Table94[[#This Row],[Symbol]],Table36[[#All],[Symbol]],Table36[[#All],[Security Description]])</f>
        <v>NETFLIX INC</v>
      </c>
      <c r="H29" s="8">
        <v>41807</v>
      </c>
      <c r="I29" s="9" t="str">
        <f>Table94[[#This Row],[Symbol]]&amp;" "&amp;Table94[[#This Row],[Date Acquired]]</f>
        <v>NFLX 41807</v>
      </c>
      <c r="J29" s="7">
        <f>10/7</f>
        <v>1.4285714285714286</v>
      </c>
      <c r="K29" s="10">
        <f>7*63.14</f>
        <v>441.98</v>
      </c>
      <c r="L29" s="11">
        <v>44074</v>
      </c>
      <c r="M29" s="7"/>
      <c r="N29" s="7">
        <v>10</v>
      </c>
      <c r="O29" s="10">
        <f>IF(Table94[[#This Row],[Transaction]]="Closed",Table94[[#This Row],[Proceeds]]/Table94[[#This Row],[Shares Sold]],"")</f>
        <v>529.66800000000001</v>
      </c>
      <c r="P29" s="10">
        <v>5296.68</v>
      </c>
    </row>
    <row r="30" spans="2:16" ht="14" x14ac:dyDescent="0.2">
      <c r="B30" s="7" t="s">
        <v>276</v>
      </c>
      <c r="C30" s="7" t="str" cm="1">
        <f t="array" ref="C30">_xlfn.XLOOKUP(Table94[[#This Row],[Account]],Table2[[#All],[Account]],Table2[[#All],[Account Type2]])</f>
        <v>IRA</v>
      </c>
      <c r="D30" s="7" t="str" cm="1">
        <f t="array" ref="D30">_xlfn.XLOOKUP(Table94[[#This Row],[Account]],Table2[[#All],[Account]],Table2[[#All],[Owner]])</f>
        <v>Shaun</v>
      </c>
      <c r="E30" s="7" t="s">
        <v>45</v>
      </c>
      <c r="F30" s="7" t="s">
        <v>46</v>
      </c>
      <c r="G30" s="31" t="str" cm="1">
        <f t="array" ref="G30">_xlfn.XLOOKUP(Table94[[#This Row],[Symbol]],Table36[[#All],[Symbol]],Table36[[#All],[Security Description]])</f>
        <v>NETFLIX INC</v>
      </c>
      <c r="H30" s="8">
        <v>41988</v>
      </c>
      <c r="I30" s="9" t="str">
        <f>Table94[[#This Row],[Symbol]]&amp;" "&amp;Table94[[#This Row],[Date Acquired]]</f>
        <v>NFLX 41988</v>
      </c>
      <c r="J30" s="7">
        <f>35/7</f>
        <v>5</v>
      </c>
      <c r="K30" s="10">
        <f>70*4.797</f>
        <v>335.78999999999996</v>
      </c>
      <c r="L30" s="11"/>
      <c r="M30" s="7"/>
      <c r="N30" s="7"/>
      <c r="O30" s="10" t="str">
        <f>IF(Table94[[#This Row],[Transaction]]="Closed",Table94[[#This Row],[Proceeds]]/Table94[[#This Row],[Shares Sold]],"")</f>
        <v/>
      </c>
      <c r="P30" s="10"/>
    </row>
    <row r="31" spans="2:16" ht="14" x14ac:dyDescent="0.2">
      <c r="B31" s="7" t="s">
        <v>276</v>
      </c>
      <c r="C31" s="7" t="str" cm="1">
        <f t="array" ref="C31">_xlfn.XLOOKUP(Table94[[#This Row],[Account]],Table2[[#All],[Account]],Table2[[#All],[Account Type2]])</f>
        <v>IRA</v>
      </c>
      <c r="D31" s="7" t="str" cm="1">
        <f t="array" ref="D31">_xlfn.XLOOKUP(Table94[[#This Row],[Account]],Table2[[#All],[Account]],Table2[[#All],[Owner]])</f>
        <v>Shaun</v>
      </c>
      <c r="E31" s="7" t="s">
        <v>30</v>
      </c>
      <c r="F31" s="7" t="s">
        <v>46</v>
      </c>
      <c r="G31" s="31" t="str" cm="1">
        <f t="array" ref="G31">_xlfn.XLOOKUP(Table94[[#This Row],[Symbol]],Table36[[#All],[Symbol]],Table36[[#All],[Security Description]])</f>
        <v>NETFLIX INC</v>
      </c>
      <c r="H31" s="8">
        <v>42944</v>
      </c>
      <c r="I31" s="9" t="str">
        <f>Table94[[#This Row],[Symbol]]&amp;" "&amp;Table94[[#This Row],[Date Acquired]]</f>
        <v>NFLX 42944</v>
      </c>
      <c r="J31" s="7">
        <v>16</v>
      </c>
      <c r="K31" s="10">
        <v>184.55312499999999</v>
      </c>
      <c r="L31" s="11">
        <v>44074</v>
      </c>
      <c r="M31" s="7"/>
      <c r="N31" s="7">
        <v>16</v>
      </c>
      <c r="O31" s="10">
        <f>IF(Table94[[#This Row],[Transaction]]="Closed",Table94[[#This Row],[Proceeds]]/Table94[[#This Row],[Shares Sold]],"")</f>
        <v>522.91562499999998</v>
      </c>
      <c r="P31" s="10">
        <v>8366.65</v>
      </c>
    </row>
    <row r="32" spans="2:16" ht="14" x14ac:dyDescent="0.2">
      <c r="B32" s="7" t="s">
        <v>276</v>
      </c>
      <c r="C32" s="7" t="str" cm="1">
        <f t="array" ref="C32">_xlfn.XLOOKUP(Table94[[#This Row],[Account]],Table2[[#All],[Account]],Table2[[#All],[Account Type2]])</f>
        <v>IRA</v>
      </c>
      <c r="D32" s="7" t="str" cm="1">
        <f t="array" ref="D32">_xlfn.XLOOKUP(Table94[[#This Row],[Account]],Table2[[#All],[Account]],Table2[[#All],[Owner]])</f>
        <v>Shaun</v>
      </c>
      <c r="E32" s="7" t="s">
        <v>30</v>
      </c>
      <c r="F32" s="7" t="s">
        <v>46</v>
      </c>
      <c r="G32" s="31" t="str" cm="1">
        <f t="array" ref="G32">_xlfn.XLOOKUP(Table94[[#This Row],[Symbol]],Table36[[#All],[Symbol]],Table36[[#All],[Security Description]])</f>
        <v>NETFLIX INC</v>
      </c>
      <c r="H32" s="8">
        <v>42944</v>
      </c>
      <c r="I32" s="9" t="str">
        <f>Table94[[#This Row],[Symbol]]&amp;" "&amp;Table94[[#This Row],[Date Acquired]]</f>
        <v>NFLX 42944</v>
      </c>
      <c r="J32" s="7">
        <v>16</v>
      </c>
      <c r="K32" s="10">
        <v>184.55312499999999</v>
      </c>
      <c r="L32" s="11">
        <v>44074</v>
      </c>
      <c r="M32" s="7"/>
      <c r="N32" s="7">
        <v>16</v>
      </c>
      <c r="O32" s="10">
        <f>IF(Table94[[#This Row],[Transaction]]="Closed",Table94[[#This Row],[Proceeds]]/Table94[[#This Row],[Shares Sold]],"")</f>
        <v>522.91562499999998</v>
      </c>
      <c r="P32" s="10">
        <v>8366.65</v>
      </c>
    </row>
    <row r="33" spans="2:16" ht="14" x14ac:dyDescent="0.2">
      <c r="B33" s="7" t="s">
        <v>276</v>
      </c>
      <c r="C33" s="7" t="str" cm="1">
        <f t="array" ref="C33">_xlfn.XLOOKUP(Table94[[#This Row],[Account]],Table2[[#All],[Account]],Table2[[#All],[Account Type2]])</f>
        <v>IRA</v>
      </c>
      <c r="D33" s="7" t="str" cm="1">
        <f t="array" ref="D33">_xlfn.XLOOKUP(Table94[[#This Row],[Account]],Table2[[#All],[Account]],Table2[[#All],[Owner]])</f>
        <v>Shaun</v>
      </c>
      <c r="E33" s="7" t="s">
        <v>30</v>
      </c>
      <c r="F33" s="7" t="s">
        <v>46</v>
      </c>
      <c r="G33" s="31" t="str" cm="1">
        <f t="array" ref="G33">_xlfn.XLOOKUP(Table94[[#This Row],[Symbol]],Table36[[#All],[Symbol]],Table36[[#All],[Security Description]])</f>
        <v>NETFLIX INC</v>
      </c>
      <c r="H33" s="8">
        <v>43837</v>
      </c>
      <c r="I33" s="9" t="str">
        <f>Table94[[#This Row],[Symbol]]&amp;" "&amp;Table94[[#This Row],[Date Acquired]]</f>
        <v>NFLX 43837</v>
      </c>
      <c r="J33" s="7">
        <v>8</v>
      </c>
      <c r="K33" s="10">
        <v>333.13</v>
      </c>
      <c r="L33" s="11">
        <v>44074</v>
      </c>
      <c r="M33" s="7"/>
      <c r="N33" s="7">
        <v>8</v>
      </c>
      <c r="O33" s="10">
        <f>IF(Table94[[#This Row],[Transaction]]="Closed",Table94[[#This Row],[Proceeds]]/Table94[[#This Row],[Shares Sold]],"")</f>
        <v>522.91624999999999</v>
      </c>
      <c r="P33" s="10">
        <v>4183.33</v>
      </c>
    </row>
    <row r="34" spans="2:16" ht="14" x14ac:dyDescent="0.2">
      <c r="B34" s="7" t="s">
        <v>276</v>
      </c>
      <c r="C34" s="7" t="str" cm="1">
        <f t="array" ref="C34">_xlfn.XLOOKUP(Table94[[#This Row],[Account]],Table2[[#All],[Account]],Table2[[#All],[Account Type2]])</f>
        <v>IRA</v>
      </c>
      <c r="D34" s="7" t="str" cm="1">
        <f t="array" ref="D34">_xlfn.XLOOKUP(Table94[[#This Row],[Account]],Table2[[#All],[Account]],Table2[[#All],[Owner]])</f>
        <v>Shaun</v>
      </c>
      <c r="E34" s="7" t="s">
        <v>45</v>
      </c>
      <c r="F34" s="7" t="s">
        <v>46</v>
      </c>
      <c r="G34" s="31" t="str" cm="1">
        <f t="array" ref="G34">_xlfn.XLOOKUP(Table94[[#This Row],[Symbol]],Table36[[#All],[Symbol]],Table36[[#All],[Security Description]])</f>
        <v>NETFLIX INC</v>
      </c>
      <c r="H34" s="8">
        <v>44021</v>
      </c>
      <c r="I34" s="9" t="str">
        <f>Table94[[#This Row],[Symbol]]&amp;" "&amp;Table94[[#This Row],[Date Acquired]]</f>
        <v>NFLX 44021</v>
      </c>
      <c r="J34" s="7">
        <f>10</f>
        <v>10</v>
      </c>
      <c r="K34" s="10">
        <f>10*50.473</f>
        <v>504.73</v>
      </c>
      <c r="L34" s="11"/>
      <c r="M34" s="7"/>
      <c r="N34" s="7"/>
      <c r="O34" s="10" t="str">
        <f>IF(Table94[[#This Row],[Transaction]]="Closed",Table94[[#This Row],[Proceeds]]/Table94[[#This Row],[Shares Sold]],"")</f>
        <v/>
      </c>
      <c r="P34" s="10"/>
    </row>
    <row r="35" spans="2:16" ht="14" x14ac:dyDescent="0.2">
      <c r="B35" s="7" t="s">
        <v>276</v>
      </c>
      <c r="C35" s="7" t="str" cm="1">
        <f t="array" ref="C35">_xlfn.XLOOKUP(Table94[[#This Row],[Account]],Table2[[#All],[Account]],Table2[[#All],[Account Type2]])</f>
        <v>IRA</v>
      </c>
      <c r="D35" s="7" t="str" cm="1">
        <f t="array" ref="D35">_xlfn.XLOOKUP(Table94[[#This Row],[Account]],Table2[[#All],[Account]],Table2[[#All],[Owner]])</f>
        <v>Shaun</v>
      </c>
      <c r="E35" s="7" t="s">
        <v>45</v>
      </c>
      <c r="F35" s="7" t="s">
        <v>46</v>
      </c>
      <c r="G35" s="31" t="str" cm="1">
        <f t="array" ref="G35">_xlfn.XLOOKUP(Table94[[#This Row],[Symbol]],Table36[[#All],[Symbol]],Table36[[#All],[Security Description]])</f>
        <v>NETFLIX INC</v>
      </c>
      <c r="H35" s="8">
        <v>44564</v>
      </c>
      <c r="I35" s="9" t="str">
        <f>Table94[[#This Row],[Symbol]]&amp;" "&amp;Table94[[#This Row],[Date Acquired]]</f>
        <v>NFLX 44564</v>
      </c>
      <c r="J35" s="7">
        <f>2</f>
        <v>2</v>
      </c>
      <c r="K35" s="10">
        <f>10*60.561</f>
        <v>605.61</v>
      </c>
      <c r="L35" s="11"/>
      <c r="M35" s="7"/>
      <c r="N35" s="7"/>
      <c r="O35" s="10" t="str">
        <f>IF(Table94[[#This Row],[Transaction]]="Closed",Table94[[#This Row],[Proceeds]]/Table94[[#This Row],[Shares Sold]],"")</f>
        <v/>
      </c>
      <c r="P35" s="10"/>
    </row>
    <row r="36" spans="2:16" ht="14" x14ac:dyDescent="0.2">
      <c r="B36" s="7" t="s">
        <v>277</v>
      </c>
      <c r="C36" s="7" t="str" cm="1">
        <f t="array" ref="C36">_xlfn.XLOOKUP(Table94[[#This Row],[Account]],Table2[[#All],[Account]],Table2[[#All],[Account Type2]])</f>
        <v>HSA</v>
      </c>
      <c r="D36" s="7" t="str" cm="1">
        <f t="array" ref="D36">_xlfn.XLOOKUP(Table94[[#This Row],[Account]],Table2[[#All],[Account]],Table2[[#All],[Owner]])</f>
        <v>Jackson</v>
      </c>
      <c r="E36" s="7" t="s">
        <v>45</v>
      </c>
      <c r="F36" s="7" t="s">
        <v>49</v>
      </c>
      <c r="G36" s="31" t="str" cm="1">
        <f t="array" ref="G36">_xlfn.XLOOKUP(Table94[[#This Row],[Symbol]],Table36[[#All],[Symbol]],Table36[[#All],[Security Description]])</f>
        <v>VANGUARD INDEX FUNDS S&amp;P 500 ETF USD</v>
      </c>
      <c r="H36" s="8">
        <v>45916</v>
      </c>
      <c r="I36" s="9" t="str">
        <f>Table94[[#This Row],[Symbol]]&amp;" "&amp;Table94[[#This Row],[Date Acquired]]</f>
        <v>VOO 45916</v>
      </c>
      <c r="J36" s="7">
        <v>0.16400000000000001</v>
      </c>
      <c r="K36" s="10">
        <v>607.01</v>
      </c>
      <c r="L36" s="11"/>
      <c r="M36" s="7"/>
      <c r="N36" s="7"/>
      <c r="O36" s="10" t="str">
        <f>IF(Table94[[#This Row],[Transaction]]="Closed",Table94[[#This Row],[Proceeds]]/Table94[[#This Row],[Shares Sold]],"")</f>
        <v/>
      </c>
      <c r="P36" s="10"/>
    </row>
    <row r="37" spans="2:16" ht="14" x14ac:dyDescent="0.2">
      <c r="B37" s="7" t="s">
        <v>277</v>
      </c>
      <c r="C37" s="7" t="str" cm="1">
        <f t="array" ref="C37">_xlfn.XLOOKUP(Table94[[#This Row],[Account]],Table2[[#All],[Account]],Table2[[#All],[Account Type2]])</f>
        <v>HSA</v>
      </c>
      <c r="D37" s="7" t="str" cm="1">
        <f t="array" ref="D37">_xlfn.XLOOKUP(Table94[[#This Row],[Account]],Table2[[#All],[Account]],Table2[[#All],[Owner]])</f>
        <v>Jackson</v>
      </c>
      <c r="E37" s="7" t="s">
        <v>45</v>
      </c>
      <c r="F37" s="7" t="s">
        <v>49</v>
      </c>
      <c r="G37" s="31" t="str" cm="1">
        <f t="array" ref="G37">_xlfn.XLOOKUP(Table94[[#This Row],[Symbol]],Table36[[#All],[Symbol]],Table36[[#All],[Security Description]])</f>
        <v>VANGUARD INDEX FUNDS S&amp;P 500 ETF USD</v>
      </c>
      <c r="H37" s="8">
        <v>45917</v>
      </c>
      <c r="I37" s="9" t="str">
        <f>Table94[[#This Row],[Symbol]]&amp;" "&amp;Table94[[#This Row],[Date Acquired]]</f>
        <v>VOO 45917</v>
      </c>
      <c r="J37" s="7">
        <v>0.65900000000000003</v>
      </c>
      <c r="K37" s="10">
        <v>606.4</v>
      </c>
      <c r="L37" s="11"/>
      <c r="M37" s="7"/>
      <c r="N37" s="7"/>
      <c r="O37" s="10" t="str">
        <f>IF(Table94[[#This Row],[Transaction]]="Closed",Table94[[#This Row],[Proceeds]]/Table94[[#This Row],[Shares Sold]],"")</f>
        <v/>
      </c>
      <c r="P37" s="10"/>
    </row>
    <row r="38" spans="2:16" ht="14" x14ac:dyDescent="0.2">
      <c r="B38" s="7" t="s">
        <v>277</v>
      </c>
      <c r="C38" s="7" t="str" cm="1">
        <f t="array" ref="C38">_xlfn.XLOOKUP(Table94[[#This Row],[Account]],Table2[[#All],[Account]],Table2[[#All],[Account Type2]])</f>
        <v>HSA</v>
      </c>
      <c r="D38" s="7" t="str" cm="1">
        <f t="array" ref="D38">_xlfn.XLOOKUP(Table94[[#This Row],[Account]],Table2[[#All],[Account]],Table2[[#All],[Owner]])</f>
        <v>Jackson</v>
      </c>
      <c r="E38" s="7" t="s">
        <v>45</v>
      </c>
      <c r="F38" s="7" t="s">
        <v>49</v>
      </c>
      <c r="G38" s="31" t="str" cm="1">
        <f t="array" ref="G38">_xlfn.XLOOKUP(Table94[[#This Row],[Symbol]],Table36[[#All],[Symbol]],Table36[[#All],[Security Description]])</f>
        <v>VANGUARD INDEX FUNDS S&amp;P 500 ETF USD</v>
      </c>
      <c r="H38" s="8">
        <v>45919</v>
      </c>
      <c r="I38" s="9" t="str">
        <f>Table94[[#This Row],[Symbol]]&amp;" "&amp;Table94[[#This Row],[Date Acquired]]</f>
        <v>VOO 45919</v>
      </c>
      <c r="J38" s="7">
        <v>0.04</v>
      </c>
      <c r="K38" s="10">
        <v>610.25</v>
      </c>
      <c r="L38" s="11"/>
      <c r="M38" s="7"/>
      <c r="N38" s="7"/>
      <c r="O38" s="10" t="str">
        <f>IF(Table94[[#This Row],[Transaction]]="Closed",Table94[[#This Row],[Proceeds]]/Table94[[#This Row],[Shares Sold]],"")</f>
        <v/>
      </c>
      <c r="P38" s="10"/>
    </row>
    <row r="39" spans="2:16" ht="14" x14ac:dyDescent="0.2">
      <c r="B39" s="7" t="s">
        <v>277</v>
      </c>
      <c r="C39" s="7" t="str" cm="1">
        <f t="array" ref="C39">_xlfn.XLOOKUP(Table94[[#This Row],[Account]],Table2[[#All],[Account]],Table2[[#All],[Account Type2]])</f>
        <v>HSA</v>
      </c>
      <c r="D39" s="7" t="str" cm="1">
        <f t="array" ref="D39">_xlfn.XLOOKUP(Table94[[#This Row],[Account]],Table2[[#All],[Account]],Table2[[#All],[Owner]])</f>
        <v>Jackson</v>
      </c>
      <c r="E39" s="7" t="s">
        <v>45</v>
      </c>
      <c r="F39" s="7" t="s">
        <v>49</v>
      </c>
      <c r="G39" s="31" t="str" cm="1">
        <f t="array" ref="G39">_xlfn.XLOOKUP(Table94[[#This Row],[Symbol]],Table36[[#All],[Symbol]],Table36[[#All],[Security Description]])</f>
        <v>VANGUARD INDEX FUNDS S&amp;P 500 ETF USD</v>
      </c>
      <c r="H39" s="8">
        <v>45923</v>
      </c>
      <c r="I39" s="9" t="str">
        <f>Table94[[#This Row],[Symbol]]&amp;" "&amp;Table94[[#This Row],[Date Acquired]]</f>
        <v>VOO 45923</v>
      </c>
      <c r="J39" s="7">
        <v>0.16200000000000001</v>
      </c>
      <c r="K39" s="10">
        <v>614.92999999999995</v>
      </c>
      <c r="L39" s="11"/>
      <c r="M39" s="7"/>
      <c r="N39" s="7"/>
      <c r="O39" s="10" t="str">
        <f>IF(Table94[[#This Row],[Transaction]]="Closed",Table94[[#This Row],[Proceeds]]/Table94[[#This Row],[Shares Sold]],"")</f>
        <v/>
      </c>
      <c r="P39" s="10"/>
    </row>
    <row r="40" spans="2:16" ht="14" x14ac:dyDescent="0.2">
      <c r="B40" s="7" t="s">
        <v>277</v>
      </c>
      <c r="C40" s="7" t="str" cm="1">
        <f t="array" ref="C40">_xlfn.XLOOKUP(Table94[[#This Row],[Account]],Table2[[#All],[Account]],Table2[[#All],[Account Type2]])</f>
        <v>HSA</v>
      </c>
      <c r="D40" s="7" t="str" cm="1">
        <f t="array" ref="D40">_xlfn.XLOOKUP(Table94[[#This Row],[Account]],Table2[[#All],[Account]],Table2[[#All],[Owner]])</f>
        <v>Jackson</v>
      </c>
      <c r="E40" s="7" t="s">
        <v>45</v>
      </c>
      <c r="F40" s="7" t="s">
        <v>49</v>
      </c>
      <c r="G40" s="31" t="str" cm="1">
        <f t="array" ref="G40">_xlfn.XLOOKUP(Table94[[#This Row],[Symbol]],Table36[[#All],[Symbol]],Table36[[#All],[Security Description]])</f>
        <v>VANGUARD INDEX FUNDS S&amp;P 500 ETF USD</v>
      </c>
      <c r="H40" s="8">
        <v>45924</v>
      </c>
      <c r="I40" s="9" t="str">
        <f>Table94[[#This Row],[Symbol]]&amp;" "&amp;Table94[[#This Row],[Date Acquired]]</f>
        <v>VOO 45924</v>
      </c>
      <c r="J40" s="7">
        <v>0.65400000000000003</v>
      </c>
      <c r="K40" s="10">
        <v>611.30999999999995</v>
      </c>
      <c r="L40" s="11"/>
      <c r="M40" s="7"/>
      <c r="N40" s="7"/>
      <c r="O40" s="10" t="str">
        <f>IF(Table94[[#This Row],[Transaction]]="Closed",Table94[[#This Row],[Proceeds]]/Table94[[#This Row],[Shares Sold]],"")</f>
        <v/>
      </c>
      <c r="P40" s="10"/>
    </row>
    <row r="41" spans="2:16" ht="14" x14ac:dyDescent="0.2">
      <c r="B41" s="7" t="s">
        <v>277</v>
      </c>
      <c r="C41" s="7" t="str" cm="1">
        <f t="array" ref="C41">_xlfn.XLOOKUP(Table94[[#This Row],[Account]],Table2[[#All],[Account]],Table2[[#All],[Account Type2]])</f>
        <v>HSA</v>
      </c>
      <c r="D41" s="7" t="str" cm="1">
        <f t="array" ref="D41">_xlfn.XLOOKUP(Table94[[#This Row],[Account]],Table2[[#All],[Account]],Table2[[#All],[Owner]])</f>
        <v>Jackson</v>
      </c>
      <c r="E41" s="7" t="s">
        <v>45</v>
      </c>
      <c r="F41" s="7" t="s">
        <v>49</v>
      </c>
      <c r="G41" s="31" t="str" cm="1">
        <f t="array" ref="G41">_xlfn.XLOOKUP(Table94[[#This Row],[Symbol]],Table36[[#All],[Symbol]],Table36[[#All],[Security Description]])</f>
        <v>VANGUARD INDEX FUNDS S&amp;P 500 ETF USD</v>
      </c>
      <c r="H41" s="8">
        <v>45926</v>
      </c>
      <c r="I41" s="9" t="str">
        <f>Table94[[#This Row],[Symbol]]&amp;" "&amp;Table94[[#This Row],[Date Acquired]]</f>
        <v>VOO 45926</v>
      </c>
      <c r="J41" s="7">
        <v>0.04</v>
      </c>
      <c r="K41" s="10">
        <v>610.25</v>
      </c>
      <c r="L41" s="11"/>
      <c r="M41" s="7"/>
      <c r="N41" s="7"/>
      <c r="O41" s="10" t="str">
        <f>IF(Table94[[#This Row],[Transaction]]="Closed",Table94[[#This Row],[Proceeds]]/Table94[[#This Row],[Shares Sold]],"")</f>
        <v/>
      </c>
      <c r="P41" s="10"/>
    </row>
    <row r="42" spans="2:16" ht="14" x14ac:dyDescent="0.2">
      <c r="B42" s="7" t="s">
        <v>277</v>
      </c>
      <c r="C42" s="7" t="str" cm="1">
        <f t="array" ref="C42">_xlfn.XLOOKUP(Table94[[#This Row],[Account]],Table2[[#All],[Account]],Table2[[#All],[Account Type2]])</f>
        <v>HSA</v>
      </c>
      <c r="D42" s="7" t="str" cm="1">
        <f t="array" ref="D42">_xlfn.XLOOKUP(Table94[[#This Row],[Account]],Table2[[#All],[Account]],Table2[[#All],[Owner]])</f>
        <v>Jackson</v>
      </c>
      <c r="E42" s="7" t="s">
        <v>45</v>
      </c>
      <c r="F42" s="7" t="s">
        <v>49</v>
      </c>
      <c r="G42" s="31" t="str" cm="1">
        <f t="array" ref="G42">_xlfn.XLOOKUP(Table94[[#This Row],[Symbol]],Table36[[#All],[Symbol]],Table36[[#All],[Security Description]])</f>
        <v>VANGUARD INDEX FUNDS S&amp;P 500 ETF USD</v>
      </c>
      <c r="H42" s="8">
        <v>45930</v>
      </c>
      <c r="I42" s="9" t="str">
        <f>Table94[[#This Row],[Symbol]]&amp;" "&amp;Table94[[#This Row],[Date Acquired]]</f>
        <v>VOO 45930</v>
      </c>
      <c r="J42" s="7">
        <v>0.45</v>
      </c>
      <c r="K42" s="10">
        <v>221.93</v>
      </c>
      <c r="L42" s="11"/>
      <c r="M42" s="7"/>
      <c r="N42" s="7"/>
      <c r="O42" s="10" t="str">
        <f>IF(Table94[[#This Row],[Transaction]]="Closed",Table94[[#This Row],[Proceeds]]/Table94[[#This Row],[Shares Sold]],"")</f>
        <v/>
      </c>
      <c r="P42" s="10"/>
    </row>
    <row r="43" spans="2:16" ht="14" x14ac:dyDescent="0.2">
      <c r="B43" s="7" t="s">
        <v>277</v>
      </c>
      <c r="C43" s="7" t="str" cm="1">
        <f t="array" ref="C43">_xlfn.XLOOKUP(Table94[[#This Row],[Account]],Table2[[#All],[Account]],Table2[[#All],[Account Type2]])</f>
        <v>HSA</v>
      </c>
      <c r="D43" s="7" t="str" cm="1">
        <f t="array" ref="D43">_xlfn.XLOOKUP(Table94[[#This Row],[Account]],Table2[[#All],[Account]],Table2[[#All],[Owner]])</f>
        <v>Jackson</v>
      </c>
      <c r="E43" s="7" t="s">
        <v>45</v>
      </c>
      <c r="F43" s="7" t="s">
        <v>49</v>
      </c>
      <c r="G43" s="31" t="str" cm="1">
        <f t="array" ref="G43">_xlfn.XLOOKUP(Table94[[#This Row],[Symbol]],Table36[[#All],[Symbol]],Table36[[#All],[Security Description]])</f>
        <v>VANGUARD INDEX FUNDS S&amp;P 500 ETF USD</v>
      </c>
      <c r="H43" s="8">
        <v>45931</v>
      </c>
      <c r="I43" s="9" t="str">
        <f>Table94[[#This Row],[Symbol]]&amp;" "&amp;Table94[[#This Row],[Date Acquired]]</f>
        <v>VOO 45931</v>
      </c>
      <c r="J43" s="7">
        <f>0.582+0.071</f>
        <v>0.65299999999999991</v>
      </c>
      <c r="K43" s="10">
        <v>611.9</v>
      </c>
      <c r="L43" s="11"/>
      <c r="M43" s="7"/>
      <c r="N43" s="7"/>
      <c r="O43" s="10" t="str">
        <f>IF(Table94[[#This Row],[Transaction]]="Closed",Table94[[#This Row],[Proceeds]]/Table94[[#This Row],[Shares Sold]],"")</f>
        <v/>
      </c>
      <c r="P43" s="10"/>
    </row>
    <row r="44" spans="2:16" ht="14" x14ac:dyDescent="0.2">
      <c r="B44" s="7" t="s">
        <v>277</v>
      </c>
      <c r="C44" s="7" t="str" cm="1">
        <f t="array" ref="C44">_xlfn.XLOOKUP(Table94[[#This Row],[Account]],Table2[[#All],[Account]],Table2[[#All],[Account Type2]])</f>
        <v>HSA</v>
      </c>
      <c r="D44" s="7" t="str" cm="1">
        <f t="array" ref="D44">_xlfn.XLOOKUP(Table94[[#This Row],[Account]],Table2[[#All],[Account]],Table2[[#All],[Owner]])</f>
        <v>Jackson</v>
      </c>
      <c r="E44" s="7" t="s">
        <v>45</v>
      </c>
      <c r="F44" s="7" t="s">
        <v>49</v>
      </c>
      <c r="G44" s="31" t="str" cm="1">
        <f t="array" ref="G44">_xlfn.XLOOKUP(Table94[[#This Row],[Symbol]],Table36[[#All],[Symbol]],Table36[[#All],[Security Description]])</f>
        <v>VANGUARD INDEX FUNDS S&amp;P 500 ETF USD</v>
      </c>
      <c r="H44" s="8">
        <v>45933</v>
      </c>
      <c r="I44" s="9" t="str">
        <f>Table94[[#This Row],[Symbol]]&amp;" "&amp;Table94[[#This Row],[Date Acquired]]</f>
        <v>VOO 45933</v>
      </c>
      <c r="J44" s="7">
        <v>0.04</v>
      </c>
      <c r="K44" s="10">
        <v>616.5</v>
      </c>
      <c r="L44" s="11"/>
      <c r="M44" s="7"/>
      <c r="N44" s="7"/>
      <c r="O44" s="10" t="str">
        <f>IF(Table94[[#This Row],[Transaction]]="Closed",Table94[[#This Row],[Proceeds]]/Table94[[#This Row],[Shares Sold]],"")</f>
        <v/>
      </c>
      <c r="P44" s="10"/>
    </row>
    <row r="45" spans="2:16" ht="14" x14ac:dyDescent="0.2">
      <c r="B45" s="7" t="s">
        <v>277</v>
      </c>
      <c r="C45" s="7" t="str" cm="1">
        <f t="array" ref="C45">_xlfn.XLOOKUP(Table94[[#This Row],[Account]],Table2[[#All],[Account]],Table2[[#All],[Account Type2]])</f>
        <v>HSA</v>
      </c>
      <c r="D45" s="7" t="str" cm="1">
        <f t="array" ref="D45">_xlfn.XLOOKUP(Table94[[#This Row],[Account]],Table2[[#All],[Account]],Table2[[#All],[Owner]])</f>
        <v>Jackson</v>
      </c>
      <c r="E45" s="7" t="s">
        <v>45</v>
      </c>
      <c r="F45" s="7" t="s">
        <v>49</v>
      </c>
      <c r="G45" s="31" t="str" cm="1">
        <f t="array" ref="G45">_xlfn.XLOOKUP(Table94[[#This Row],[Symbol]],Table36[[#All],[Symbol]],Table36[[#All],[Security Description]])</f>
        <v>VANGUARD INDEX FUNDS S&amp;P 500 ETF USD</v>
      </c>
      <c r="H45" s="8">
        <v>45937</v>
      </c>
      <c r="I45" s="9" t="str">
        <f>Table94[[#This Row],[Symbol]]&amp;" "&amp;Table94[[#This Row],[Date Acquired]]</f>
        <v>VOO 45937</v>
      </c>
      <c r="J45" s="7">
        <v>0.161</v>
      </c>
      <c r="K45" s="10">
        <v>617.82600000000002</v>
      </c>
      <c r="L45" s="11"/>
      <c r="M45" s="7"/>
      <c r="N45" s="7"/>
      <c r="O45" s="10" t="str">
        <f>IF(Table94[[#This Row],[Transaction]]="Closed",Table94[[#This Row],[Proceeds]]/Table94[[#This Row],[Shares Sold]],"")</f>
        <v/>
      </c>
      <c r="P45" s="10"/>
    </row>
    <row r="46" spans="2:16" ht="14" x14ac:dyDescent="0.2">
      <c r="B46" s="7" t="s">
        <v>277</v>
      </c>
      <c r="C46" s="7" t="str" cm="1">
        <f t="array" ref="C46">_xlfn.XLOOKUP(Table94[[#This Row],[Account]],Table2[[#All],[Account]],Table2[[#All],[Account Type2]])</f>
        <v>HSA</v>
      </c>
      <c r="D46" s="7" t="str" cm="1">
        <f t="array" ref="D46">_xlfn.XLOOKUP(Table94[[#This Row],[Account]],Table2[[#All],[Account]],Table2[[#All],[Owner]])</f>
        <v>Jackson</v>
      </c>
      <c r="E46" s="7" t="s">
        <v>45</v>
      </c>
      <c r="F46" s="7" t="s">
        <v>49</v>
      </c>
      <c r="G46" s="31" t="str" cm="1">
        <f t="array" ref="G46">_xlfn.XLOOKUP(Table94[[#This Row],[Symbol]],Table36[[#All],[Symbol]],Table36[[#All],[Security Description]])</f>
        <v>VANGUARD INDEX FUNDS S&amp;P 500 ETF USD</v>
      </c>
      <c r="H46" s="8">
        <v>45938</v>
      </c>
      <c r="I46" s="9" t="str">
        <f>Table94[[#This Row],[Symbol]]&amp;" "&amp;Table94[[#This Row],[Date Acquired]]</f>
        <v>VOO 45938</v>
      </c>
      <c r="J46" s="7">
        <f>0.132+0.515</f>
        <v>0.64700000000000002</v>
      </c>
      <c r="K46" s="10">
        <v>617.4</v>
      </c>
      <c r="L46" s="11"/>
      <c r="M46" s="7"/>
      <c r="N46" s="7"/>
      <c r="O46" s="10" t="str">
        <f>IF(Table94[[#This Row],[Transaction]]="Closed",Table94[[#This Row],[Proceeds]]/Table94[[#This Row],[Shares Sold]],"")</f>
        <v/>
      </c>
      <c r="P46" s="10"/>
    </row>
    <row r="47" spans="2:16" ht="14" x14ac:dyDescent="0.2">
      <c r="B47" s="7" t="s">
        <v>277</v>
      </c>
      <c r="C47" s="7" t="str" cm="1">
        <f t="array" ref="C47">_xlfn.XLOOKUP(Table94[[#This Row],[Account]],Table2[[#All],[Account]],Table2[[#All],[Account Type2]])</f>
        <v>HSA</v>
      </c>
      <c r="D47" s="7" t="str" cm="1">
        <f t="array" ref="D47">_xlfn.XLOOKUP(Table94[[#This Row],[Account]],Table2[[#All],[Account]],Table2[[#All],[Owner]])</f>
        <v>Jackson</v>
      </c>
      <c r="E47" s="7" t="s">
        <v>45</v>
      </c>
      <c r="F47" s="7" t="s">
        <v>49</v>
      </c>
      <c r="G47" s="31" t="str" cm="1">
        <f t="array" ref="G47">_xlfn.XLOOKUP(Table94[[#This Row],[Symbol]],Table36[[#All],[Symbol]],Table36[[#All],[Security Description]])</f>
        <v>VANGUARD INDEX FUNDS S&amp;P 500 ETF USD</v>
      </c>
      <c r="H47" s="8">
        <v>45940</v>
      </c>
      <c r="I47" s="9" t="str">
        <f>Table94[[#This Row],[Symbol]]&amp;" "&amp;Table94[[#This Row],[Date Acquired]]</f>
        <v>VOO 45940</v>
      </c>
      <c r="J47" s="7">
        <v>0.04</v>
      </c>
      <c r="K47" s="10">
        <v>618.25</v>
      </c>
      <c r="L47" s="11"/>
      <c r="M47" s="7"/>
      <c r="N47" s="7"/>
      <c r="O47" s="10" t="str">
        <f>IF(Table94[[#This Row],[Transaction]]="Closed",Table94[[#This Row],[Proceeds]]/Table94[[#This Row],[Shares Sold]],"")</f>
        <v/>
      </c>
      <c r="P47" s="10"/>
    </row>
    <row r="48" spans="2:16" ht="14" x14ac:dyDescent="0.2">
      <c r="B48" s="7" t="s">
        <v>277</v>
      </c>
      <c r="C48" s="7" t="str" cm="1">
        <f t="array" ref="C48">_xlfn.XLOOKUP(Table94[[#This Row],[Account]],Table2[[#All],[Account]],Table2[[#All],[Account Type2]])</f>
        <v>HSA</v>
      </c>
      <c r="D48" s="7" t="str" cm="1">
        <f t="array" ref="D48">_xlfn.XLOOKUP(Table94[[#This Row],[Account]],Table2[[#All],[Account]],Table2[[#All],[Owner]])</f>
        <v>Jackson</v>
      </c>
      <c r="E48" s="7" t="s">
        <v>45</v>
      </c>
      <c r="F48" s="7" t="s">
        <v>49</v>
      </c>
      <c r="G48" s="31" t="str" cm="1">
        <f t="array" ref="G48">_xlfn.XLOOKUP(Table94[[#This Row],[Symbol]],Table36[[#All],[Symbol]],Table36[[#All],[Security Description]])</f>
        <v>VANGUARD INDEX FUNDS S&amp;P 500 ETF USD</v>
      </c>
      <c r="H48" s="8">
        <v>45944</v>
      </c>
      <c r="I48" s="9" t="str">
        <f>Table94[[#This Row],[Symbol]]&amp;" "&amp;Table94[[#This Row],[Date Acquired]]</f>
        <v>VOO 45944</v>
      </c>
      <c r="J48" s="7">
        <v>0.16500000000000001</v>
      </c>
      <c r="K48" s="10">
        <v>605.9393</v>
      </c>
      <c r="L48" s="11"/>
      <c r="M48" s="7"/>
      <c r="N48" s="7"/>
      <c r="O48" s="10" t="str">
        <f>IF(Table94[[#This Row],[Transaction]]="Closed",Table94[[#This Row],[Proceeds]]/Table94[[#This Row],[Shares Sold]],"")</f>
        <v/>
      </c>
      <c r="P48" s="10"/>
    </row>
    <row r="49" spans="2:16" ht="14" x14ac:dyDescent="0.2">
      <c r="B49" s="7" t="s">
        <v>277</v>
      </c>
      <c r="C49" s="7" t="str" cm="1">
        <f t="array" ref="C49">_xlfn.XLOOKUP(Table94[[#This Row],[Account]],Table2[[#All],[Account]],Table2[[#All],[Account Type2]])</f>
        <v>HSA</v>
      </c>
      <c r="D49" s="7" t="str" cm="1">
        <f t="array" ref="D49">_xlfn.XLOOKUP(Table94[[#This Row],[Account]],Table2[[#All],[Account]],Table2[[#All],[Owner]])</f>
        <v>Jackson</v>
      </c>
      <c r="E49" s="7" t="s">
        <v>45</v>
      </c>
      <c r="F49" s="7" t="s">
        <v>49</v>
      </c>
      <c r="G49" s="31" t="str" cm="1">
        <f t="array" ref="G49">_xlfn.XLOOKUP(Table94[[#This Row],[Symbol]],Table36[[#All],[Symbol]],Table36[[#All],[Security Description]])</f>
        <v>VANGUARD INDEX FUNDS S&amp;P 500 ETF USD</v>
      </c>
      <c r="H49" s="8">
        <v>45945</v>
      </c>
      <c r="I49" s="9" t="str">
        <f>Table94[[#This Row],[Symbol]]&amp;" "&amp;Table94[[#This Row],[Date Acquired]]</f>
        <v>VOO 45945</v>
      </c>
      <c r="J49" s="7">
        <v>0.64900000000000002</v>
      </c>
      <c r="K49" s="10">
        <v>615.74</v>
      </c>
      <c r="L49" s="11"/>
      <c r="M49" s="7"/>
      <c r="N49" s="7"/>
      <c r="O49" s="10" t="str">
        <f>IF(Table94[[#This Row],[Transaction]]="Closed",Table94[[#This Row],[Proceeds]]/Table94[[#This Row],[Shares Sold]],"")</f>
        <v/>
      </c>
      <c r="P49" s="10"/>
    </row>
    <row r="50" spans="2:16" ht="14" x14ac:dyDescent="0.2">
      <c r="B50" s="7" t="s">
        <v>277</v>
      </c>
      <c r="C50" s="7" t="str" cm="1">
        <f t="array" ref="C50">_xlfn.XLOOKUP(Table94[[#This Row],[Account]],Table2[[#All],[Account]],Table2[[#All],[Account Type2]])</f>
        <v>HSA</v>
      </c>
      <c r="D50" s="7" t="str" cm="1">
        <f t="array" ref="D50">_xlfn.XLOOKUP(Table94[[#This Row],[Account]],Table2[[#All],[Account]],Table2[[#All],[Owner]])</f>
        <v>Jackson</v>
      </c>
      <c r="E50" s="7" t="s">
        <v>45</v>
      </c>
      <c r="F50" s="7" t="s">
        <v>49</v>
      </c>
      <c r="G50" s="31" t="str" cm="1">
        <f t="array" ref="G50">_xlfn.XLOOKUP(Table94[[#This Row],[Symbol]],Table36[[#All],[Symbol]],Table36[[#All],[Security Description]])</f>
        <v>VANGUARD INDEX FUNDS S&amp;P 500 ETF USD</v>
      </c>
      <c r="H50" s="8">
        <v>45947</v>
      </c>
      <c r="I50" s="9" t="str">
        <f>Table94[[#This Row],[Symbol]]&amp;" "&amp;Table94[[#This Row],[Date Acquired]]</f>
        <v>VOO 45947</v>
      </c>
      <c r="J50" s="7">
        <v>4.1000000000000002E-2</v>
      </c>
      <c r="K50" s="10">
        <v>608.53650000000005</v>
      </c>
      <c r="L50" s="11"/>
      <c r="M50" s="7"/>
      <c r="N50" s="7"/>
      <c r="O50" s="10" t="str">
        <f>IF(Table94[[#This Row],[Transaction]]="Closed",Table94[[#This Row],[Proceeds]]/Table94[[#This Row],[Shares Sold]],"")</f>
        <v/>
      </c>
      <c r="P50" s="10"/>
    </row>
    <row r="51" spans="2:16" ht="14" x14ac:dyDescent="0.2">
      <c r="B51" s="7" t="s">
        <v>277</v>
      </c>
      <c r="C51" s="7" t="str" cm="1">
        <f t="array" ref="C51">_xlfn.XLOOKUP(Table94[[#This Row],[Account]],Table2[[#All],[Account]],Table2[[#All],[Account Type2]])</f>
        <v>HSA</v>
      </c>
      <c r="D51" s="7" t="str" cm="1">
        <f t="array" ref="D51">_xlfn.XLOOKUP(Table94[[#This Row],[Account]],Table2[[#All],[Account]],Table2[[#All],[Owner]])</f>
        <v>Jackson</v>
      </c>
      <c r="E51" s="7" t="s">
        <v>45</v>
      </c>
      <c r="F51" s="7" t="s">
        <v>49</v>
      </c>
      <c r="G51" s="31" t="str" cm="1">
        <f t="array" ref="G51">_xlfn.XLOOKUP(Table94[[#This Row],[Symbol]],Table36[[#All],[Symbol]],Table36[[#All],[Security Description]])</f>
        <v>VANGUARD INDEX FUNDS S&amp;P 500 ETF USD</v>
      </c>
      <c r="H51" s="8">
        <v>45951</v>
      </c>
      <c r="I51" s="9" t="str">
        <f>Table94[[#This Row],[Symbol]]&amp;" "&amp;Table94[[#This Row],[Date Acquired]]</f>
        <v>VOO 45951</v>
      </c>
      <c r="J51" s="7">
        <v>0.16200000000000001</v>
      </c>
      <c r="K51" s="10">
        <v>616.35799999999995</v>
      </c>
      <c r="L51" s="11"/>
      <c r="M51" s="7"/>
      <c r="N51" s="7"/>
      <c r="O51" s="10" t="str">
        <f>IF(Table94[[#This Row],[Transaction]]="Closed",Table94[[#This Row],[Proceeds]]/Table94[[#This Row],[Shares Sold]],"")</f>
        <v/>
      </c>
      <c r="P51" s="10"/>
    </row>
    <row r="52" spans="2:16" ht="14" x14ac:dyDescent="0.2">
      <c r="B52" s="7" t="s">
        <v>277</v>
      </c>
      <c r="C52" s="7" t="str" cm="1">
        <f t="array" ref="C52">_xlfn.XLOOKUP(Table94[[#This Row],[Account]],Table2[[#All],[Account]],Table2[[#All],[Account Type2]])</f>
        <v>HSA</v>
      </c>
      <c r="D52" s="7" t="str" cm="1">
        <f t="array" ref="D52">_xlfn.XLOOKUP(Table94[[#This Row],[Account]],Table2[[#All],[Account]],Table2[[#All],[Owner]])</f>
        <v>Jackson</v>
      </c>
      <c r="E52" s="7" t="s">
        <v>45</v>
      </c>
      <c r="F52" s="7" t="s">
        <v>49</v>
      </c>
      <c r="G52" s="31" t="str" cm="1">
        <f t="array" ref="G52">_xlfn.XLOOKUP(Table94[[#This Row],[Symbol]],Table36[[#All],[Symbol]],Table36[[#All],[Security Description]])</f>
        <v>VANGUARD INDEX FUNDS S&amp;P 500 ETF USD</v>
      </c>
      <c r="H52" s="8">
        <v>45952</v>
      </c>
      <c r="I52" s="9" t="str">
        <f>Table94[[#This Row],[Symbol]]&amp;" "&amp;Table94[[#This Row],[Date Acquired]]</f>
        <v>VOO 45952</v>
      </c>
      <c r="J52" s="7">
        <v>0.64700000000000002</v>
      </c>
      <c r="K52" s="10">
        <v>617.32600000000002</v>
      </c>
      <c r="L52" s="11"/>
      <c r="M52" s="7"/>
      <c r="N52" s="7"/>
      <c r="O52" s="10" t="str">
        <f>IF(Table94[[#This Row],[Transaction]]="Closed",Table94[[#This Row],[Proceeds]]/Table94[[#This Row],[Shares Sold]],"")</f>
        <v/>
      </c>
      <c r="P52" s="10"/>
    </row>
    <row r="53" spans="2:16" ht="14" x14ac:dyDescent="0.2">
      <c r="B53" s="7" t="s">
        <v>277</v>
      </c>
      <c r="C53" s="7" t="str" cm="1">
        <f t="array" ref="C53">_xlfn.XLOOKUP(Table94[[#This Row],[Account]],Table2[[#All],[Account]],Table2[[#All],[Account Type2]])</f>
        <v>HSA</v>
      </c>
      <c r="D53" s="7" t="str" cm="1">
        <f t="array" ref="D53">_xlfn.XLOOKUP(Table94[[#This Row],[Account]],Table2[[#All],[Account]],Table2[[#All],[Owner]])</f>
        <v>Jackson</v>
      </c>
      <c r="E53" s="7" t="s">
        <v>45</v>
      </c>
      <c r="F53" s="7" t="s">
        <v>49</v>
      </c>
      <c r="G53" s="31" t="str" cm="1">
        <f t="array" ref="G53">_xlfn.XLOOKUP(Table94[[#This Row],[Symbol]],Table36[[#All],[Symbol]],Table36[[#All],[Security Description]])</f>
        <v>VANGUARD INDEX FUNDS S&amp;P 500 ETF USD</v>
      </c>
      <c r="H53" s="8">
        <v>45954</v>
      </c>
      <c r="I53" s="9" t="str">
        <f>Table94[[#This Row],[Symbol]]&amp;" "&amp;Table94[[#This Row],[Date Acquired]]</f>
        <v>VOO 45954</v>
      </c>
      <c r="J53" s="7">
        <v>0.04</v>
      </c>
      <c r="K53" s="10">
        <v>622.23</v>
      </c>
      <c r="L53" s="11"/>
      <c r="M53" s="7"/>
      <c r="N53" s="7"/>
      <c r="O53" s="10" t="str">
        <f>IF(Table94[[#This Row],[Transaction]]="Closed",Table94[[#This Row],[Proceeds]]/Table94[[#This Row],[Shares Sold]],"")</f>
        <v/>
      </c>
      <c r="P53" s="10"/>
    </row>
    <row r="54" spans="2:16" ht="14" x14ac:dyDescent="0.2">
      <c r="B54" s="7" t="s">
        <v>277</v>
      </c>
      <c r="C54" s="7" t="str" cm="1">
        <f t="array" ref="C54">_xlfn.XLOOKUP(Table94[[#This Row],[Account]],Table2[[#All],[Account]],Table2[[#All],[Account Type2]])</f>
        <v>HSA</v>
      </c>
      <c r="D54" s="7" t="str" cm="1">
        <f t="array" ref="D54">_xlfn.XLOOKUP(Table94[[#This Row],[Account]],Table2[[#All],[Account]],Table2[[#All],[Owner]])</f>
        <v>Jackson</v>
      </c>
      <c r="E54" s="7" t="s">
        <v>45</v>
      </c>
      <c r="F54" s="7" t="s">
        <v>49</v>
      </c>
      <c r="G54" s="31" t="str" cm="1">
        <f t="array" ref="G54">_xlfn.XLOOKUP(Table94[[#This Row],[Symbol]],Table36[[#All],[Symbol]],Table36[[#All],[Security Description]])</f>
        <v>VANGUARD INDEX FUNDS S&amp;P 500 ETF USD</v>
      </c>
      <c r="H54" s="8">
        <v>45954</v>
      </c>
      <c r="I54" s="9" t="str">
        <f>Table94[[#This Row],[Symbol]]&amp;" "&amp;Table94[[#This Row],[Date Acquired]]</f>
        <v>VOO 45954</v>
      </c>
      <c r="J54" s="7">
        <v>3.9E-2</v>
      </c>
      <c r="K54" s="10">
        <v>627.88</v>
      </c>
      <c r="L54" s="11"/>
      <c r="M54" s="7"/>
      <c r="N54" s="7"/>
      <c r="O54" s="10" t="str">
        <f>IF(Table94[[#This Row],[Transaction]]="Closed",Table94[[#This Row],[Proceeds]]/Table94[[#This Row],[Shares Sold]],"")</f>
        <v/>
      </c>
      <c r="P54" s="10"/>
    </row>
    <row r="55" spans="2:16" ht="14" x14ac:dyDescent="0.2">
      <c r="B55" s="7" t="s">
        <v>277</v>
      </c>
      <c r="C55" s="7" t="str" cm="1">
        <f t="array" ref="C55">_xlfn.XLOOKUP(Table94[[#This Row],[Account]],Table2[[#All],[Account]],Table2[[#All],[Account Type2]])</f>
        <v>HSA</v>
      </c>
      <c r="D55" s="7" t="str" cm="1">
        <f t="array" ref="D55">_xlfn.XLOOKUP(Table94[[#This Row],[Account]],Table2[[#All],[Account]],Table2[[#All],[Owner]])</f>
        <v>Jackson</v>
      </c>
      <c r="E55" s="7" t="s">
        <v>45</v>
      </c>
      <c r="F55" s="7" t="s">
        <v>49</v>
      </c>
      <c r="G55" s="31" t="str" cm="1">
        <f t="array" ref="G55">_xlfn.XLOOKUP(Table94[[#This Row],[Symbol]],Table36[[#All],[Symbol]],Table36[[#All],[Security Description]])</f>
        <v>VANGUARD INDEX FUNDS S&amp;P 500 ETF USD</v>
      </c>
      <c r="H55" s="8">
        <v>45958</v>
      </c>
      <c r="I55" s="9" t="str">
        <f>Table94[[#This Row],[Symbol]]&amp;" "&amp;Table94[[#This Row],[Date Acquired]]</f>
        <v>VOO 45958</v>
      </c>
      <c r="J55" s="7">
        <f>0.042+0.382</f>
        <v>0.42399999999999999</v>
      </c>
      <c r="K55" s="10">
        <v>235.70679999999999</v>
      </c>
      <c r="L55" s="11"/>
      <c r="M55" s="7"/>
      <c r="N55" s="7"/>
      <c r="O55" s="10" t="str">
        <f>IF(Table94[[#This Row],[Transaction]]="Closed",Table94[[#This Row],[Proceeds]]/Table94[[#This Row],[Shares Sold]],"")</f>
        <v/>
      </c>
      <c r="P55" s="10"/>
    </row>
    <row r="56" spans="2:16" ht="14" x14ac:dyDescent="0.2">
      <c r="B56" s="7" t="s">
        <v>277</v>
      </c>
      <c r="C56" s="7" t="str" cm="1">
        <f t="array" ref="C56">_xlfn.XLOOKUP(Table94[[#This Row],[Account]],Table2[[#All],[Account]],Table2[[#All],[Account Type2]])</f>
        <v>HSA</v>
      </c>
      <c r="D56" s="7" t="str" cm="1">
        <f t="array" ref="D56">_xlfn.XLOOKUP(Table94[[#This Row],[Account]],Table2[[#All],[Account]],Table2[[#All],[Owner]])</f>
        <v>Jackson</v>
      </c>
      <c r="E56" s="7" t="s">
        <v>45</v>
      </c>
      <c r="F56" s="7" t="s">
        <v>49</v>
      </c>
      <c r="G56" s="31" t="str" cm="1">
        <f t="array" ref="G56">_xlfn.XLOOKUP(Table94[[#This Row],[Symbol]],Table36[[#All],[Symbol]],Table36[[#All],[Security Description]])</f>
        <v>VANGUARD INDEX FUNDS S&amp;P 500 ETF USD</v>
      </c>
      <c r="H56" s="8">
        <v>45959</v>
      </c>
      <c r="I56" s="9" t="str">
        <f>Table94[[#This Row],[Symbol]]&amp;" "&amp;Table94[[#This Row],[Date Acquired]]</f>
        <v>VOO 45959</v>
      </c>
      <c r="J56" s="7">
        <v>0.63100000000000001</v>
      </c>
      <c r="K56" s="10">
        <v>633.22</v>
      </c>
      <c r="L56" s="11"/>
      <c r="M56" s="7"/>
      <c r="N56" s="7"/>
      <c r="O56" s="10" t="str">
        <f>IF(Table94[[#This Row],[Transaction]]="Closed",Table94[[#This Row],[Proceeds]]/Table94[[#This Row],[Shares Sold]],"")</f>
        <v/>
      </c>
      <c r="P56" s="10"/>
    </row>
    <row r="57" spans="2:16" ht="14" x14ac:dyDescent="0.2">
      <c r="B57" s="7" t="s">
        <v>277</v>
      </c>
      <c r="C57" s="7" t="str" cm="1">
        <f t="array" ref="C57">_xlfn.XLOOKUP(Table94[[#This Row],[Account]],Table2[[#All],[Account]],Table2[[#All],[Account Type2]])</f>
        <v>HSA</v>
      </c>
      <c r="D57" s="7" t="str" cm="1">
        <f t="array" ref="D57">_xlfn.XLOOKUP(Table94[[#This Row],[Account]],Table2[[#All],[Account]],Table2[[#All],[Owner]])</f>
        <v>Jackson</v>
      </c>
      <c r="E57" s="7" t="s">
        <v>45</v>
      </c>
      <c r="F57" s="7" t="s">
        <v>49</v>
      </c>
      <c r="G57" s="31" t="str" cm="1">
        <f t="array" ref="G57">_xlfn.XLOOKUP(Table94[[#This Row],[Symbol]],Table36[[#All],[Symbol]],Table36[[#All],[Security Description]])</f>
        <v>VANGUARD INDEX FUNDS S&amp;P 500 ETF USD</v>
      </c>
      <c r="H57" s="8">
        <v>45961</v>
      </c>
      <c r="I57" s="9" t="str">
        <f>Table94[[#This Row],[Symbol]]&amp;" "&amp;Table94[[#This Row],[Date Acquired]]</f>
        <v>VOO 45961</v>
      </c>
      <c r="J57" s="7">
        <v>3.9E-2</v>
      </c>
      <c r="K57" s="10">
        <v>627.88</v>
      </c>
      <c r="L57" s="11"/>
      <c r="M57" s="7"/>
      <c r="N57" s="7"/>
      <c r="O57" s="10" t="str">
        <f>IF(Table94[[#This Row],[Transaction]]="Closed",Table94[[#This Row],[Proceeds]]/Table94[[#This Row],[Shares Sold]],"")</f>
        <v/>
      </c>
      <c r="P57" s="10"/>
    </row>
    <row r="58" spans="2:16" ht="14" x14ac:dyDescent="0.2">
      <c r="B58" s="7" t="s">
        <v>277</v>
      </c>
      <c r="C58" s="7" t="str" cm="1">
        <f t="array" ref="C58">_xlfn.XLOOKUP(Table94[[#This Row],[Account]],Table2[[#All],[Account]],Table2[[#All],[Account Type2]])</f>
        <v>HSA</v>
      </c>
      <c r="D58" s="7" t="str" cm="1">
        <f t="array" ref="D58">_xlfn.XLOOKUP(Table94[[#This Row],[Account]],Table2[[#All],[Account]],Table2[[#All],[Owner]])</f>
        <v>Jackson</v>
      </c>
      <c r="E58" s="7" t="s">
        <v>45</v>
      </c>
      <c r="F58" s="7" t="s">
        <v>49</v>
      </c>
      <c r="G58" s="31" t="str" cm="1">
        <f t="array" ref="G58">_xlfn.XLOOKUP(Table94[[#This Row],[Symbol]],Table36[[#All],[Symbol]],Table36[[#All],[Security Description]])</f>
        <v>VANGUARD INDEX FUNDS S&amp;P 500 ETF USD</v>
      </c>
      <c r="H58" s="8">
        <v>45965</v>
      </c>
      <c r="I58" s="9" t="str">
        <f>Table94[[#This Row],[Symbol]]&amp;" "&amp;Table94[[#This Row],[Date Acquired]]</f>
        <v>VOO 45965</v>
      </c>
      <c r="J58" s="7">
        <v>0.16</v>
      </c>
      <c r="K58" s="10">
        <v>624.21</v>
      </c>
      <c r="L58" s="11"/>
      <c r="M58" s="7"/>
      <c r="N58" s="7"/>
      <c r="O58" s="10" t="str">
        <f>IF(Table94[[#This Row],[Transaction]]="Closed",Table94[[#This Row],[Proceeds]]/Table94[[#This Row],[Shares Sold]],"")</f>
        <v/>
      </c>
      <c r="P58" s="10"/>
    </row>
    <row r="59" spans="2:16" ht="14" x14ac:dyDescent="0.2">
      <c r="B59" s="7" t="s">
        <v>277</v>
      </c>
      <c r="C59" s="7" t="str" cm="1">
        <f t="array" ref="C59">_xlfn.XLOOKUP(Table94[[#This Row],[Account]],Table2[[#All],[Account]],Table2[[#All],[Account Type2]])</f>
        <v>HSA</v>
      </c>
      <c r="D59" s="7" t="str" cm="1">
        <f t="array" ref="D59">_xlfn.XLOOKUP(Table94[[#This Row],[Account]],Table2[[#All],[Account]],Table2[[#All],[Owner]])</f>
        <v>Jackson</v>
      </c>
      <c r="E59" s="7" t="s">
        <v>45</v>
      </c>
      <c r="F59" s="7" t="s">
        <v>49</v>
      </c>
      <c r="G59" s="31" t="str" cm="1">
        <f t="array" ref="G59">_xlfn.XLOOKUP(Table94[[#This Row],[Symbol]],Table36[[#All],[Symbol]],Table36[[#All],[Security Description]])</f>
        <v>VANGUARD INDEX FUNDS S&amp;P 500 ETF USD</v>
      </c>
      <c r="H59" s="8">
        <v>45968</v>
      </c>
      <c r="I59" s="9" t="str">
        <f>Table94[[#This Row],[Symbol]]&amp;" "&amp;Table94[[#This Row],[Date Acquired]]</f>
        <v>VOO 45968</v>
      </c>
      <c r="J59" s="7">
        <v>0.04</v>
      </c>
      <c r="K59" s="10">
        <v>613.03</v>
      </c>
      <c r="L59" s="11"/>
      <c r="M59" s="7"/>
      <c r="N59" s="7"/>
      <c r="O59" s="10" t="str">
        <f>IF(Table94[[#This Row],[Transaction]]="Closed",Table94[[#This Row],[Proceeds]]/Table94[[#This Row],[Shares Sold]],"")</f>
        <v/>
      </c>
      <c r="P59" s="10"/>
    </row>
    <row r="60" spans="2:16" ht="14" x14ac:dyDescent="0.2">
      <c r="B60" s="7" t="s">
        <v>277</v>
      </c>
      <c r="C60" s="7" t="str" cm="1">
        <f t="array" ref="C60">_xlfn.XLOOKUP(Table94[[#This Row],[Account]],Table2[[#All],[Account]],Table2[[#All],[Account Type2]])</f>
        <v>HSA</v>
      </c>
      <c r="D60" s="7" t="str" cm="1">
        <f t="array" ref="D60">_xlfn.XLOOKUP(Table94[[#This Row],[Account]],Table2[[#All],[Account]],Table2[[#All],[Owner]])</f>
        <v>Jackson</v>
      </c>
      <c r="E60" s="7" t="s">
        <v>45</v>
      </c>
      <c r="F60" s="7" t="s">
        <v>49</v>
      </c>
      <c r="G60" s="31" t="str" cm="1">
        <f t="array" ref="G60">_xlfn.XLOOKUP(Table94[[#This Row],[Symbol]],Table36[[#All],[Symbol]],Table36[[#All],[Security Description]])</f>
        <v>VANGUARD INDEX FUNDS S&amp;P 500 ETF USD</v>
      </c>
      <c r="H60" s="8">
        <v>45972</v>
      </c>
      <c r="I60" s="9" t="str">
        <f>Table94[[#This Row],[Symbol]]&amp;" "&amp;Table94[[#This Row],[Date Acquired]]</f>
        <v>VOO 45972</v>
      </c>
      <c r="J60" s="7">
        <v>0.159</v>
      </c>
      <c r="K60" s="10">
        <v>625.65</v>
      </c>
      <c r="L60" s="11"/>
      <c r="M60" s="7"/>
      <c r="N60" s="7"/>
      <c r="O60" s="10" t="str">
        <f>IF(Table94[[#This Row],[Transaction]]="Closed",Table94[[#This Row],[Proceeds]]/Table94[[#This Row],[Shares Sold]],"")</f>
        <v/>
      </c>
      <c r="P60" s="10"/>
    </row>
    <row r="61" spans="2:16" ht="14" x14ac:dyDescent="0.2">
      <c r="B61" s="7" t="s">
        <v>277</v>
      </c>
      <c r="C61" s="7" t="str" cm="1">
        <f t="array" ref="C61">_xlfn.XLOOKUP(Table94[[#This Row],[Account]],Table2[[#All],[Account]],Table2[[#All],[Account Type2]])</f>
        <v>HSA</v>
      </c>
      <c r="D61" s="7" t="str" cm="1">
        <f t="array" ref="D61">_xlfn.XLOOKUP(Table94[[#This Row],[Account]],Table2[[#All],[Account]],Table2[[#All],[Owner]])</f>
        <v>Jackson</v>
      </c>
      <c r="E61" s="7" t="s">
        <v>45</v>
      </c>
      <c r="F61" s="7" t="s">
        <v>49</v>
      </c>
      <c r="G61" s="31" t="str" cm="1">
        <f t="array" ref="G61">_xlfn.XLOOKUP(Table94[[#This Row],[Symbol]],Table36[[#All],[Symbol]],Table36[[#All],[Security Description]])</f>
        <v>VANGUARD INDEX FUNDS S&amp;P 500 ETF USD</v>
      </c>
      <c r="H61" s="8">
        <v>45975</v>
      </c>
      <c r="I61" s="9" t="str">
        <f>Table94[[#This Row],[Symbol]]&amp;" "&amp;Table94[[#This Row],[Date Acquired]]</f>
        <v>VOO 45975</v>
      </c>
      <c r="J61" s="7">
        <v>0.04</v>
      </c>
      <c r="K61" s="10">
        <v>614.1</v>
      </c>
      <c r="L61" s="11"/>
      <c r="M61" s="7"/>
      <c r="N61" s="7"/>
      <c r="O61" s="10" t="str">
        <f>IF(Table94[[#This Row],[Transaction]]="Closed",Table94[[#This Row],[Proceeds]]/Table94[[#This Row],[Shares Sold]],"")</f>
        <v/>
      </c>
      <c r="P61" s="10"/>
    </row>
    <row r="62" spans="2:16" ht="14" x14ac:dyDescent="0.2">
      <c r="B62" s="7" t="s">
        <v>277</v>
      </c>
      <c r="C62" s="7" t="str" cm="1">
        <f t="array" ref="C62">_xlfn.XLOOKUP(Table94[[#This Row],[Account]],Table2[[#All],[Account]],Table2[[#All],[Account Type2]])</f>
        <v>HSA</v>
      </c>
      <c r="D62" s="7" t="str" cm="1">
        <f t="array" ref="D62">_xlfn.XLOOKUP(Table94[[#This Row],[Account]],Table2[[#All],[Account]],Table2[[#All],[Owner]])</f>
        <v>Jackson</v>
      </c>
      <c r="E62" s="7" t="s">
        <v>45</v>
      </c>
      <c r="F62" s="7" t="s">
        <v>49</v>
      </c>
      <c r="G62" s="31" t="str" cm="1">
        <f t="array" ref="G62">_xlfn.XLOOKUP(Table94[[#This Row],[Symbol]],Table36[[#All],[Symbol]],Table36[[#All],[Security Description]])</f>
        <v>VANGUARD INDEX FUNDS S&amp;P 500 ETF USD</v>
      </c>
      <c r="H62" s="8">
        <v>45979</v>
      </c>
      <c r="I62" s="9" t="str">
        <f>Table94[[#This Row],[Symbol]]&amp;" "&amp;Table94[[#This Row],[Date Acquired]]</f>
        <v>VOO 45979</v>
      </c>
      <c r="J62" s="7">
        <f>0.054+0.111</f>
        <v>0.16500000000000001</v>
      </c>
      <c r="K62" s="10">
        <v>604.59</v>
      </c>
      <c r="L62" s="11"/>
      <c r="M62" s="7"/>
      <c r="N62" s="7"/>
      <c r="O62" s="10" t="str">
        <f>IF(Table94[[#This Row],[Transaction]]="Closed",Table94[[#This Row],[Proceeds]]/Table94[[#This Row],[Shares Sold]],"")</f>
        <v/>
      </c>
      <c r="P62" s="10"/>
    </row>
    <row r="63" spans="2:16" ht="14" x14ac:dyDescent="0.2">
      <c r="B63" s="7" t="s">
        <v>277</v>
      </c>
      <c r="C63" s="7" t="str" cm="1">
        <f t="array" ref="C63">_xlfn.XLOOKUP(Table94[[#This Row],[Account]],Table2[[#All],[Account]],Table2[[#All],[Account Type2]])</f>
        <v>HSA</v>
      </c>
      <c r="D63" s="7" t="str" cm="1">
        <f t="array" ref="D63">_xlfn.XLOOKUP(Table94[[#This Row],[Account]],Table2[[#All],[Account]],Table2[[#All],[Owner]])</f>
        <v>Jackson</v>
      </c>
      <c r="E63" s="7" t="s">
        <v>45</v>
      </c>
      <c r="F63" s="7" t="s">
        <v>49</v>
      </c>
      <c r="G63" s="31" t="str" cm="1">
        <f t="array" ref="G63">_xlfn.XLOOKUP(Table94[[#This Row],[Symbol]],Table36[[#All],[Symbol]],Table36[[#All],[Security Description]])</f>
        <v>VANGUARD INDEX FUNDS S&amp;P 500 ETF USD</v>
      </c>
      <c r="H63" s="8">
        <v>45982</v>
      </c>
      <c r="I63" s="9" t="str">
        <f>Table94[[#This Row],[Symbol]]&amp;" "&amp;Table94[[#This Row],[Date Acquired]]</f>
        <v>VOO 45982</v>
      </c>
      <c r="J63" s="7">
        <v>4.1000000000000002E-2</v>
      </c>
      <c r="K63" s="10">
        <v>602.53</v>
      </c>
      <c r="L63" s="11"/>
      <c r="M63" s="7"/>
      <c r="N63" s="7"/>
      <c r="O63" s="10" t="str">
        <f>IF(Table94[[#This Row],[Transaction]]="Closed",Table94[[#This Row],[Proceeds]]/Table94[[#This Row],[Shares Sold]],"")</f>
        <v/>
      </c>
      <c r="P63" s="10"/>
    </row>
    <row r="64" spans="2:16" ht="14" x14ac:dyDescent="0.2">
      <c r="B64" s="7" t="s">
        <v>277</v>
      </c>
      <c r="C64" s="7" t="str" cm="1">
        <f t="array" ref="C64">_xlfn.XLOOKUP(Table94[[#This Row],[Account]],Table2[[#All],[Account]],Table2[[#All],[Account Type2]])</f>
        <v>HSA</v>
      </c>
      <c r="D64" s="7" t="str" cm="1">
        <f t="array" ref="D64">_xlfn.XLOOKUP(Table94[[#This Row],[Account]],Table2[[#All],[Account]],Table2[[#All],[Owner]])</f>
        <v>Jackson</v>
      </c>
      <c r="E64" s="7" t="s">
        <v>45</v>
      </c>
      <c r="F64" s="7" t="s">
        <v>49</v>
      </c>
      <c r="G64" s="31" t="str" cm="1">
        <f t="array" ref="G64">_xlfn.XLOOKUP(Table94[[#This Row],[Symbol]],Table36[[#All],[Symbol]],Table36[[#All],[Security Description]])</f>
        <v>VANGUARD INDEX FUNDS S&amp;P 500 ETF USD</v>
      </c>
      <c r="H64" s="8">
        <v>45986</v>
      </c>
      <c r="I64" s="9" t="str">
        <f>Table94[[#This Row],[Symbol]]&amp;" "&amp;Table94[[#This Row],[Date Acquired]]</f>
        <v>VOO 45986</v>
      </c>
      <c r="J64" s="7">
        <f>0.14+0.023</f>
        <v>0.16300000000000001</v>
      </c>
      <c r="K64" s="10">
        <v>612.65</v>
      </c>
      <c r="L64" s="11"/>
      <c r="M64" s="7"/>
      <c r="N64" s="7"/>
      <c r="O64" s="10" t="str">
        <f>IF(Table94[[#This Row],[Transaction]]="Closed",Table94[[#This Row],[Proceeds]]/Table94[[#This Row],[Shares Sold]],"")</f>
        <v/>
      </c>
      <c r="P64" s="10"/>
    </row>
    <row r="65" spans="2:16" ht="14" x14ac:dyDescent="0.2">
      <c r="B65" s="7" t="s">
        <v>277</v>
      </c>
      <c r="C65" s="7" t="str" cm="1">
        <f t="array" ref="C65">_xlfn.XLOOKUP(Table94[[#This Row],[Account]],Table2[[#All],[Account]],Table2[[#All],[Account Type2]])</f>
        <v>HSA</v>
      </c>
      <c r="D65" s="7" t="str" cm="1">
        <f t="array" ref="D65">_xlfn.XLOOKUP(Table94[[#This Row],[Account]],Table2[[#All],[Account]],Table2[[#All],[Owner]])</f>
        <v>Jackson</v>
      </c>
      <c r="E65" s="7" t="s">
        <v>45</v>
      </c>
      <c r="F65" s="7" t="s">
        <v>49</v>
      </c>
      <c r="G65" s="31" t="str" cm="1">
        <f t="array" ref="G65">_xlfn.XLOOKUP(Table94[[#This Row],[Symbol]],Table36[[#All],[Symbol]],Table36[[#All],[Security Description]])</f>
        <v>VANGUARD INDEX FUNDS S&amp;P 500 ETF USD</v>
      </c>
      <c r="H65" s="8">
        <v>45989</v>
      </c>
      <c r="I65" s="9" t="str">
        <f>Table94[[#This Row],[Symbol]]&amp;" "&amp;Table94[[#This Row],[Date Acquired]]</f>
        <v>VOO 45989</v>
      </c>
      <c r="J65" s="7">
        <v>3.9E-2</v>
      </c>
      <c r="K65" s="10">
        <v>626.94000000000005</v>
      </c>
      <c r="L65" s="11"/>
      <c r="M65" s="7"/>
      <c r="N65" s="7"/>
      <c r="O65" s="10" t="str">
        <f>IF(Table94[[#This Row],[Transaction]]="Closed",Table94[[#This Row],[Proceeds]]/Table94[[#This Row],[Shares Sold]],"")</f>
        <v/>
      </c>
      <c r="P65" s="10"/>
    </row>
    <row r="66" spans="2:16" ht="14" x14ac:dyDescent="0.2">
      <c r="B66" s="7" t="s">
        <v>277</v>
      </c>
      <c r="C66" s="7" t="str" cm="1">
        <f t="array" ref="C66">_xlfn.XLOOKUP(Table94[[#This Row],[Account]],Table2[[#All],[Account]],Table2[[#All],[Account Type2]])</f>
        <v>HSA</v>
      </c>
      <c r="D66" s="7" t="str" cm="1">
        <f t="array" ref="D66">_xlfn.XLOOKUP(Table94[[#This Row],[Account]],Table2[[#All],[Account]],Table2[[#All],[Owner]])</f>
        <v>Jackson</v>
      </c>
      <c r="E66" s="7" t="s">
        <v>45</v>
      </c>
      <c r="F66" s="7" t="s">
        <v>49</v>
      </c>
      <c r="G66" s="31" t="str" cm="1">
        <f t="array" ref="G66">_xlfn.XLOOKUP(Table94[[#This Row],[Symbol]],Table36[[#All],[Symbol]],Table36[[#All],[Security Description]])</f>
        <v>VANGUARD INDEX FUNDS S&amp;P 500 ETF USD</v>
      </c>
      <c r="H66" s="8">
        <v>45993</v>
      </c>
      <c r="I66" s="9" t="str">
        <f>Table94[[#This Row],[Symbol]]&amp;" "&amp;Table94[[#This Row],[Date Acquired]]</f>
        <v>VOO 45993</v>
      </c>
      <c r="J66" s="7">
        <v>0.158</v>
      </c>
      <c r="K66" s="10">
        <v>628.70000000000005</v>
      </c>
      <c r="L66" s="11"/>
      <c r="M66" s="7"/>
      <c r="N66" s="7"/>
      <c r="O66" s="10" t="str">
        <f>IF(Table94[[#This Row],[Transaction]]="Closed",Table94[[#This Row],[Proceeds]]/Table94[[#This Row],[Shares Sold]],"")</f>
        <v/>
      </c>
      <c r="P66" s="10"/>
    </row>
    <row r="67" spans="2:16" ht="14" x14ac:dyDescent="0.2">
      <c r="B67" s="7" t="s">
        <v>277</v>
      </c>
      <c r="C67" s="7" t="str" cm="1">
        <f t="array" ref="C67">_xlfn.XLOOKUP(Table94[[#This Row],[Account]],Table2[[#All],[Account]],Table2[[#All],[Account Type2]])</f>
        <v>HSA</v>
      </c>
      <c r="D67" s="7" t="str" cm="1">
        <f t="array" ref="D67">_xlfn.XLOOKUP(Table94[[#This Row],[Account]],Table2[[#All],[Account]],Table2[[#All],[Owner]])</f>
        <v>Jackson</v>
      </c>
      <c r="E67" s="7" t="s">
        <v>45</v>
      </c>
      <c r="F67" s="7" t="s">
        <v>49</v>
      </c>
      <c r="G67" s="31" t="str" cm="1">
        <f t="array" ref="G67">_xlfn.XLOOKUP(Table94[[#This Row],[Symbol]],Table36[[#All],[Symbol]],Table36[[#All],[Security Description]])</f>
        <v>VANGUARD INDEX FUNDS S&amp;P 500 ETF USD</v>
      </c>
      <c r="H67" s="8">
        <v>45996</v>
      </c>
      <c r="I67" s="9" t="str">
        <f>Table94[[#This Row],[Symbol]]&amp;" "&amp;Table94[[#This Row],[Date Acquired]]</f>
        <v>VOO 45996</v>
      </c>
      <c r="J67" s="7">
        <v>3.9E-2</v>
      </c>
      <c r="K67" s="10">
        <v>632.55999999999995</v>
      </c>
      <c r="L67" s="11"/>
      <c r="M67" s="7"/>
      <c r="N67" s="7"/>
      <c r="O67" s="10" t="str">
        <f>IF(Table94[[#This Row],[Transaction]]="Closed",Table94[[#This Row],[Proceeds]]/Table94[[#This Row],[Shares Sold]],"")</f>
        <v/>
      </c>
      <c r="P67" s="10"/>
    </row>
    <row r="68" spans="2:16" ht="14" x14ac:dyDescent="0.2">
      <c r="B68" s="7" t="s">
        <v>277</v>
      </c>
      <c r="C68" s="7" t="str" cm="1">
        <f t="array" ref="C68">_xlfn.XLOOKUP(Table94[[#This Row],[Account]],Table2[[#All],[Account]],Table2[[#All],[Account Type2]])</f>
        <v>HSA</v>
      </c>
      <c r="D68" s="7" t="str" cm="1">
        <f t="array" ref="D68">_xlfn.XLOOKUP(Table94[[#This Row],[Account]],Table2[[#All],[Account]],Table2[[#All],[Owner]])</f>
        <v>Jackson</v>
      </c>
      <c r="E68" s="7" t="s">
        <v>45</v>
      </c>
      <c r="F68" s="7" t="s">
        <v>49</v>
      </c>
      <c r="G68" s="31" t="str" cm="1">
        <f t="array" ref="G68">_xlfn.XLOOKUP(Table94[[#This Row],[Symbol]],Table36[[#All],[Symbol]],Table36[[#All],[Security Description]])</f>
        <v>VANGUARD INDEX FUNDS S&amp;P 500 ETF USD</v>
      </c>
      <c r="H68" s="8">
        <v>46000</v>
      </c>
      <c r="I68" s="9" t="str">
        <f>Table94[[#This Row],[Symbol]]&amp;" "&amp;Table94[[#This Row],[Date Acquired]]</f>
        <v>VOO 46000</v>
      </c>
      <c r="J68" s="7">
        <v>0.158</v>
      </c>
      <c r="K68" s="10">
        <v>629.66999999999996</v>
      </c>
      <c r="L68" s="11"/>
      <c r="M68" s="7"/>
      <c r="N68" s="7"/>
      <c r="O68" s="10" t="str">
        <f>IF(Table94[[#This Row],[Transaction]]="Closed",Table94[[#This Row],[Proceeds]]/Table94[[#This Row],[Shares Sold]],"")</f>
        <v/>
      </c>
      <c r="P68" s="10"/>
    </row>
    <row r="69" spans="2:16" ht="14" x14ac:dyDescent="0.2">
      <c r="B69" s="7" t="s">
        <v>277</v>
      </c>
      <c r="C69" s="7" t="str" cm="1">
        <f t="array" ref="C69">_xlfn.XLOOKUP(Table94[[#This Row],[Account]],Table2[[#All],[Account]],Table2[[#All],[Account Type2]])</f>
        <v>HSA</v>
      </c>
      <c r="D69" s="7" t="str" cm="1">
        <f t="array" ref="D69">_xlfn.XLOOKUP(Table94[[#This Row],[Account]],Table2[[#All],[Account]],Table2[[#All],[Owner]])</f>
        <v>Jackson</v>
      </c>
      <c r="E69" s="7" t="s">
        <v>45</v>
      </c>
      <c r="F69" s="7" t="s">
        <v>49</v>
      </c>
      <c r="G69" s="31" t="str" cm="1">
        <f t="array" ref="G69">_xlfn.XLOOKUP(Table94[[#This Row],[Symbol]],Table36[[#All],[Symbol]],Table36[[#All],[Security Description]])</f>
        <v>VANGUARD INDEX FUNDS S&amp;P 500 ETF USD</v>
      </c>
      <c r="H69" s="8">
        <v>46003</v>
      </c>
      <c r="I69" s="9" t="str">
        <f>Table94[[#This Row],[Symbol]]&amp;" "&amp;Table94[[#This Row],[Date Acquired]]</f>
        <v>VOO 46003</v>
      </c>
      <c r="J69" s="7">
        <v>3.9E-2</v>
      </c>
      <c r="K69" s="10">
        <v>631.34</v>
      </c>
      <c r="L69" s="11"/>
      <c r="M69" s="7"/>
      <c r="N69" s="7"/>
      <c r="O69" s="10" t="str">
        <f>IF(Table94[[#This Row],[Transaction]]="Closed",Table94[[#This Row],[Proceeds]]/Table94[[#This Row],[Shares Sold]],"")</f>
        <v/>
      </c>
      <c r="P69" s="10"/>
    </row>
    <row r="70" spans="2:16" ht="14" x14ac:dyDescent="0.2">
      <c r="B70" s="7" t="s">
        <v>277</v>
      </c>
      <c r="C70" s="7" t="str" cm="1">
        <f t="array" ref="C70">_xlfn.XLOOKUP(Table94[[#This Row],[Account]],Table2[[#All],[Account]],Table2[[#All],[Account Type2]])</f>
        <v>HSA</v>
      </c>
      <c r="D70" s="7" t="str" cm="1">
        <f t="array" ref="D70">_xlfn.XLOOKUP(Table94[[#This Row],[Account]],Table2[[#All],[Account]],Table2[[#All],[Owner]])</f>
        <v>Jackson</v>
      </c>
      <c r="E70" s="7" t="s">
        <v>45</v>
      </c>
      <c r="F70" s="7" t="s">
        <v>49</v>
      </c>
      <c r="G70" s="31" t="str" cm="1">
        <f t="array" ref="G70">_xlfn.XLOOKUP(Table94[[#This Row],[Symbol]],Table36[[#All],[Symbol]],Table36[[#All],[Security Description]])</f>
        <v>VANGUARD INDEX FUNDS S&amp;P 500 ETF USD</v>
      </c>
      <c r="H70" s="8">
        <v>46007</v>
      </c>
      <c r="I70" s="9" t="str">
        <f>Table94[[#This Row],[Symbol]]&amp;" "&amp;Table94[[#This Row],[Date Acquired]]</f>
        <v>VOO 46007</v>
      </c>
      <c r="J70" s="7">
        <v>0.159</v>
      </c>
      <c r="K70" s="10">
        <v>625.91</v>
      </c>
      <c r="L70" s="11"/>
      <c r="M70" s="7"/>
      <c r="N70" s="7"/>
      <c r="O70" s="10" t="str">
        <f>IF(Table94[[#This Row],[Transaction]]="Closed",Table94[[#This Row],[Proceeds]]/Table94[[#This Row],[Shares Sold]],"")</f>
        <v/>
      </c>
      <c r="P70" s="10"/>
    </row>
    <row r="71" spans="2:16" ht="14" x14ac:dyDescent="0.2">
      <c r="B71" s="7" t="s">
        <v>277</v>
      </c>
      <c r="C71" s="7" t="str" cm="1">
        <f t="array" ref="C71">_xlfn.XLOOKUP(Table94[[#This Row],[Account]],Table2[[#All],[Account]],Table2[[#All],[Account Type2]])</f>
        <v>HSA</v>
      </c>
      <c r="D71" s="7" t="str" cm="1">
        <f t="array" ref="D71">_xlfn.XLOOKUP(Table94[[#This Row],[Account]],Table2[[#All],[Account]],Table2[[#All],[Owner]])</f>
        <v>Jackson</v>
      </c>
      <c r="E71" s="7" t="s">
        <v>45</v>
      </c>
      <c r="F71" s="7" t="s">
        <v>49</v>
      </c>
      <c r="G71" s="31" t="str" cm="1">
        <f t="array" ref="G71">_xlfn.XLOOKUP(Table94[[#This Row],[Symbol]],Table36[[#All],[Symbol]],Table36[[#All],[Security Description]])</f>
        <v>VANGUARD INDEX FUNDS S&amp;P 500 ETF USD</v>
      </c>
      <c r="H71" s="8">
        <v>46010</v>
      </c>
      <c r="I71" s="9" t="str">
        <f>Table94[[#This Row],[Symbol]]&amp;" "&amp;Table94[[#This Row],[Date Acquired]]</f>
        <v>VOO 46010</v>
      </c>
      <c r="J71" s="7">
        <v>3.9E-2</v>
      </c>
      <c r="K71" s="10">
        <v>626.91999999999996</v>
      </c>
      <c r="L71" s="11"/>
      <c r="M71" s="7"/>
      <c r="N71" s="7"/>
      <c r="O71" s="10" t="str">
        <f>IF(Table94[[#This Row],[Transaction]]="Closed",Table94[[#This Row],[Proceeds]]/Table94[[#This Row],[Shares Sold]],"")</f>
        <v/>
      </c>
      <c r="P71" s="10"/>
    </row>
    <row r="72" spans="2:16" ht="14" x14ac:dyDescent="0.2">
      <c r="B72" s="7" t="s">
        <v>277</v>
      </c>
      <c r="C72" s="7" t="str" cm="1">
        <f t="array" ref="C72">_xlfn.XLOOKUP(Table94[[#This Row],[Account]],Table2[[#All],[Account]],Table2[[#All],[Account Type2]])</f>
        <v>HSA</v>
      </c>
      <c r="D72" s="7" t="str" cm="1">
        <f t="array" ref="D72">_xlfn.XLOOKUP(Table94[[#This Row],[Account]],Table2[[#All],[Account]],Table2[[#All],[Owner]])</f>
        <v>Jackson</v>
      </c>
      <c r="E72" s="7" t="s">
        <v>45</v>
      </c>
      <c r="F72" s="7" t="s">
        <v>49</v>
      </c>
      <c r="G72" s="31" t="str" cm="1">
        <f t="array" ref="G72">_xlfn.XLOOKUP(Table94[[#This Row],[Symbol]],Table36[[#All],[Symbol]],Table36[[#All],[Security Description]])</f>
        <v>VANGUARD INDEX FUNDS S&amp;P 500 ETF USD</v>
      </c>
      <c r="H72" s="8">
        <v>46017</v>
      </c>
      <c r="I72" s="9" t="str">
        <f>Table94[[#This Row],[Symbol]]&amp;" "&amp;Table94[[#This Row],[Date Acquired]]</f>
        <v>VOO 46017</v>
      </c>
      <c r="J72" s="7">
        <v>3.9E-2</v>
      </c>
      <c r="K72" s="10">
        <v>634.36</v>
      </c>
      <c r="L72" s="11"/>
      <c r="M72" s="7"/>
      <c r="N72" s="7"/>
      <c r="O72" s="10" t="str">
        <f>IF(Table94[[#This Row],[Transaction]]="Closed",Table94[[#This Row],[Proceeds]]/Table94[[#This Row],[Shares Sold]],"")</f>
        <v/>
      </c>
      <c r="P72" s="10"/>
    </row>
    <row r="73" spans="2:16" ht="14" x14ac:dyDescent="0.2">
      <c r="B73" s="7" t="s">
        <v>277</v>
      </c>
      <c r="C73" s="7" t="str" cm="1">
        <f t="array" ref="C73">_xlfn.XLOOKUP(Table94[[#This Row],[Account]],Table2[[#All],[Account]],Table2[[#All],[Account Type2]])</f>
        <v>HSA</v>
      </c>
      <c r="D73" s="7" t="str" cm="1">
        <f t="array" ref="D73">_xlfn.XLOOKUP(Table94[[#This Row],[Account]],Table2[[#All],[Account]],Table2[[#All],[Owner]])</f>
        <v>Jackson</v>
      </c>
      <c r="E73" s="7" t="s">
        <v>45</v>
      </c>
      <c r="F73" s="7" t="s">
        <v>49</v>
      </c>
      <c r="G73" s="31" t="str" cm="1">
        <f t="array" ref="G73">_xlfn.XLOOKUP(Table94[[#This Row],[Symbol]],Table36[[#All],[Symbol]],Table36[[#All],[Security Description]])</f>
        <v>VANGUARD INDEX FUNDS S&amp;P 500 ETF USD</v>
      </c>
      <c r="H73" s="8">
        <v>46121</v>
      </c>
      <c r="I73" s="9" t="str">
        <f>Table94[[#This Row],[Symbol]]&amp;" "&amp;Table94[[#This Row],[Date Acquired]]</f>
        <v>VOO 46121</v>
      </c>
      <c r="J73" s="7">
        <v>3.9E-2</v>
      </c>
      <c r="K73" s="10">
        <v>643.33000000000004</v>
      </c>
      <c r="L73" s="11"/>
      <c r="M73" s="7"/>
      <c r="N73" s="7"/>
      <c r="O73" s="10" t="str">
        <f>IF(Table94[[#This Row],[Transaction]]="Closed",Table94[[#This Row],[Proceeds]]/Table94[[#This Row],[Shares Sold]],"")</f>
        <v/>
      </c>
      <c r="P73" s="10"/>
    </row>
    <row r="74" spans="2:16" ht="14" x14ac:dyDescent="0.2">
      <c r="B74" s="7" t="s">
        <v>277</v>
      </c>
      <c r="C74" s="7" t="str" cm="1">
        <f t="array" ref="C74">_xlfn.XLOOKUP(Table94[[#This Row],[Account]],Table2[[#All],[Account]],Table2[[#All],[Account Type2]])</f>
        <v>HSA</v>
      </c>
      <c r="D74" s="37" t="str" cm="1">
        <f t="array" ref="D74">_xlfn.XLOOKUP(Table94[[#This Row],[Account]],Table2[[#All],[Account]],Table2[[#All],[Owner]])</f>
        <v>Jackson</v>
      </c>
      <c r="E74" s="37" t="s">
        <v>45</v>
      </c>
      <c r="F74" s="7" t="s">
        <v>49</v>
      </c>
      <c r="G74" s="31" t="str" cm="1">
        <f t="array" ref="G74">_xlfn.XLOOKUP(Table94[[#This Row],[Symbol]],Table36[[#All],[Symbol]],Table36[[#All],[Security Description]])</f>
        <v>VANGUARD INDEX FUNDS S&amp;P 500 ETF USD</v>
      </c>
      <c r="H74" s="8">
        <v>46128</v>
      </c>
      <c r="I74" s="9" t="str">
        <f>Table94[[#This Row],[Symbol]]&amp;" "&amp;Table94[[#This Row],[Date Acquired]]</f>
        <v>VOO 46128</v>
      </c>
      <c r="J74" s="7">
        <v>3.7999999999999999E-2</v>
      </c>
      <c r="K74" s="10">
        <v>644.73684211</v>
      </c>
      <c r="L74" s="9"/>
      <c r="M74" s="14"/>
      <c r="N74" s="7"/>
      <c r="O74" s="12" t="str">
        <f>IF(Table94[[#This Row],[Transaction]]="Closed",Table94[[#This Row],[Proceeds]]/Table94[[#This Row],[Shares Sold]],"")</f>
        <v/>
      </c>
      <c r="P74" s="16"/>
    </row>
  </sheetData>
  <pageMargins left="0.7" right="0.7" top="0.75" bottom="0.75" header="0.3" footer="0.3"/>
  <pageSetup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4D3A28-0555-F94D-9571-3DD437E803F3}">
          <x14:formula1>
            <xm:f>Accounts!$B$2:$B$18</xm:f>
          </x14:formula1>
          <xm:sqref>B3:B74</xm:sqref>
        </x14:dataValidation>
        <x14:dataValidation type="list" allowBlank="1" showInputMessage="1" showErrorMessage="1" xr:uid="{C0D5C6C7-0A19-B24E-AA8B-0DA529E757A5}">
          <x14:formula1>
            <xm:f>Accounts!#REF!</xm:f>
          </x14:formula1>
          <xm:sqref>F3:F74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E67E-F766-6242-B5E0-46173A8C74D3}">
  <sheetPr>
    <tabColor theme="8"/>
  </sheetPr>
  <dimension ref="B2:D18"/>
  <sheetViews>
    <sheetView workbookViewId="0">
      <selection activeCell="E1" sqref="E1:I1048576"/>
    </sheetView>
  </sheetViews>
  <sheetFormatPr baseColWidth="10" defaultRowHeight="16" x14ac:dyDescent="0.2"/>
  <cols>
    <col min="1" max="1" width="10.83203125" style="17"/>
    <col min="2" max="3" width="14.6640625" style="17" customWidth="1"/>
    <col min="4" max="16384" width="10.83203125" style="17"/>
  </cols>
  <sheetData>
    <row r="2" spans="2:4" x14ac:dyDescent="0.2">
      <c r="B2" s="18" t="s">
        <v>272</v>
      </c>
      <c r="C2" s="18" t="s">
        <v>271</v>
      </c>
      <c r="D2" s="19" t="s">
        <v>17</v>
      </c>
    </row>
    <row r="3" spans="2:4" x14ac:dyDescent="0.2">
      <c r="B3" s="13" t="s">
        <v>273</v>
      </c>
      <c r="C3" s="7" t="s">
        <v>3</v>
      </c>
      <c r="D3" s="36" t="s">
        <v>274</v>
      </c>
    </row>
    <row r="4" spans="2:4" x14ac:dyDescent="0.2">
      <c r="B4" s="13" t="s">
        <v>276</v>
      </c>
      <c r="C4" s="7" t="s">
        <v>134</v>
      </c>
      <c r="D4" s="36" t="s">
        <v>275</v>
      </c>
    </row>
    <row r="5" spans="2:4" x14ac:dyDescent="0.2">
      <c r="B5" s="13" t="s">
        <v>277</v>
      </c>
      <c r="C5" s="7" t="s">
        <v>175</v>
      </c>
      <c r="D5" s="36" t="s">
        <v>278</v>
      </c>
    </row>
    <row r="6" spans="2:4" x14ac:dyDescent="0.2">
      <c r="B6" s="13"/>
      <c r="C6" s="7"/>
    </row>
    <row r="7" spans="2:4" x14ac:dyDescent="0.2">
      <c r="B7" s="13"/>
      <c r="C7" s="7"/>
    </row>
    <row r="8" spans="2:4" x14ac:dyDescent="0.2">
      <c r="B8" s="13"/>
      <c r="C8" s="7"/>
    </row>
    <row r="9" spans="2:4" x14ac:dyDescent="0.2">
      <c r="B9" s="13"/>
      <c r="C9" s="7"/>
    </row>
    <row r="10" spans="2:4" x14ac:dyDescent="0.2">
      <c r="B10" s="13"/>
      <c r="C10" s="7"/>
    </row>
    <row r="11" spans="2:4" x14ac:dyDescent="0.2">
      <c r="B11" s="13"/>
      <c r="C11" s="7"/>
    </row>
    <row r="12" spans="2:4" x14ac:dyDescent="0.2">
      <c r="B12" s="13"/>
      <c r="C12" s="7"/>
    </row>
    <row r="13" spans="2:4" x14ac:dyDescent="0.2">
      <c r="B13" s="13"/>
      <c r="C13" s="7"/>
    </row>
    <row r="14" spans="2:4" x14ac:dyDescent="0.2">
      <c r="B14" s="13"/>
      <c r="C14" s="7"/>
    </row>
    <row r="15" spans="2:4" x14ac:dyDescent="0.2">
      <c r="B15" s="15"/>
      <c r="C15" s="7"/>
    </row>
    <row r="16" spans="2:4" x14ac:dyDescent="0.2">
      <c r="B16" s="15"/>
      <c r="C16" s="7"/>
      <c r="D16" s="32"/>
    </row>
    <row r="17" spans="2:4" x14ac:dyDescent="0.2">
      <c r="B17" s="15"/>
      <c r="C17" s="7"/>
      <c r="D17" s="32"/>
    </row>
    <row r="18" spans="2:4" x14ac:dyDescent="0.2">
      <c r="B18" s="15"/>
      <c r="C18" s="7"/>
      <c r="D18" s="3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7F4E-9A9C-7C44-AC3D-D2CABE7E408F}">
  <sheetPr>
    <tabColor theme="8"/>
  </sheetPr>
  <dimension ref="B2:C766"/>
  <sheetViews>
    <sheetView workbookViewId="0">
      <selection activeCell="C25" sqref="C25"/>
    </sheetView>
  </sheetViews>
  <sheetFormatPr baseColWidth="10" defaultRowHeight="16" x14ac:dyDescent="0.2"/>
  <cols>
    <col min="1" max="2" width="10.83203125" style="17"/>
    <col min="3" max="3" width="80.83203125" style="17" bestFit="1" customWidth="1"/>
    <col min="4" max="16384" width="10.83203125" style="17"/>
  </cols>
  <sheetData>
    <row r="2" spans="2:3" ht="29" x14ac:dyDescent="0.2">
      <c r="B2" s="28" t="s">
        <v>19</v>
      </c>
      <c r="C2" s="28" t="s">
        <v>20</v>
      </c>
    </row>
    <row r="3" spans="2:3" x14ac:dyDescent="0.2">
      <c r="B3" s="29" t="s">
        <v>35</v>
      </c>
      <c r="C3" s="29" t="s">
        <v>36</v>
      </c>
    </row>
    <row r="4" spans="2:3" x14ac:dyDescent="0.2">
      <c r="B4" s="29" t="s">
        <v>245</v>
      </c>
      <c r="C4" s="29" t="s">
        <v>246</v>
      </c>
    </row>
    <row r="5" spans="2:3" x14ac:dyDescent="0.2">
      <c r="B5" s="29" t="s">
        <v>157</v>
      </c>
      <c r="C5" s="29" t="s">
        <v>158</v>
      </c>
    </row>
    <row r="6" spans="2:3" x14ac:dyDescent="0.2">
      <c r="B6" s="29" t="s">
        <v>214</v>
      </c>
      <c r="C6" s="35" t="s">
        <v>215</v>
      </c>
    </row>
    <row r="7" spans="2:3" x14ac:dyDescent="0.2">
      <c r="B7" s="29" t="s">
        <v>104</v>
      </c>
      <c r="C7" s="29" t="s">
        <v>105</v>
      </c>
    </row>
    <row r="8" spans="2:3" x14ac:dyDescent="0.2">
      <c r="B8" s="29" t="s">
        <v>143</v>
      </c>
      <c r="C8" s="29" t="s">
        <v>144</v>
      </c>
    </row>
    <row r="9" spans="2:3" x14ac:dyDescent="0.2">
      <c r="B9" s="29" t="s">
        <v>231</v>
      </c>
      <c r="C9" s="29" t="s">
        <v>232</v>
      </c>
    </row>
    <row r="10" spans="2:3" x14ac:dyDescent="0.2">
      <c r="B10" s="29" t="s">
        <v>37</v>
      </c>
      <c r="C10" s="34" t="s">
        <v>38</v>
      </c>
    </row>
    <row r="11" spans="2:3" x14ac:dyDescent="0.2">
      <c r="B11" s="29" t="s">
        <v>100</v>
      </c>
      <c r="C11" s="29" t="s">
        <v>101</v>
      </c>
    </row>
    <row r="12" spans="2:3" x14ac:dyDescent="0.2">
      <c r="B12" s="29" t="s">
        <v>102</v>
      </c>
      <c r="C12" s="29" t="s">
        <v>103</v>
      </c>
    </row>
    <row r="13" spans="2:3" x14ac:dyDescent="0.2">
      <c r="B13" s="29" t="s">
        <v>182</v>
      </c>
      <c r="C13" s="29" t="s">
        <v>183</v>
      </c>
    </row>
    <row r="14" spans="2:3" x14ac:dyDescent="0.2">
      <c r="B14" s="29" t="s">
        <v>145</v>
      </c>
      <c r="C14" s="29" t="s">
        <v>146</v>
      </c>
    </row>
    <row r="15" spans="2:3" x14ac:dyDescent="0.2">
      <c r="B15" s="29" t="s">
        <v>59</v>
      </c>
      <c r="C15" s="29" t="s">
        <v>60</v>
      </c>
    </row>
    <row r="16" spans="2:3" x14ac:dyDescent="0.2">
      <c r="B16" s="29" t="s">
        <v>233</v>
      </c>
      <c r="C16" s="29" t="s">
        <v>234</v>
      </c>
    </row>
    <row r="17" spans="2:3" x14ac:dyDescent="0.2">
      <c r="B17" s="29" t="s">
        <v>79</v>
      </c>
      <c r="C17" s="29" t="s">
        <v>80</v>
      </c>
    </row>
    <row r="18" spans="2:3" x14ac:dyDescent="0.2">
      <c r="B18" s="29" t="s">
        <v>79</v>
      </c>
      <c r="C18" s="29" t="s">
        <v>83</v>
      </c>
    </row>
    <row r="19" spans="2:3" x14ac:dyDescent="0.2">
      <c r="B19" s="29" t="s">
        <v>247</v>
      </c>
      <c r="C19" s="29" t="s">
        <v>248</v>
      </c>
    </row>
    <row r="20" spans="2:3" x14ac:dyDescent="0.2">
      <c r="B20" s="29" t="s">
        <v>96</v>
      </c>
      <c r="C20" s="29" t="s">
        <v>97</v>
      </c>
    </row>
    <row r="21" spans="2:3" x14ac:dyDescent="0.2">
      <c r="B21" s="29" t="s">
        <v>200</v>
      </c>
      <c r="C21" s="29" t="s">
        <v>201</v>
      </c>
    </row>
    <row r="22" spans="2:3" x14ac:dyDescent="0.2">
      <c r="B22" s="29" t="s">
        <v>237</v>
      </c>
      <c r="C22" s="29" t="s">
        <v>238</v>
      </c>
    </row>
    <row r="23" spans="2:3" x14ac:dyDescent="0.2">
      <c r="B23" s="29" t="s">
        <v>86</v>
      </c>
      <c r="C23" s="29" t="s">
        <v>87</v>
      </c>
    </row>
    <row r="24" spans="2:3" x14ac:dyDescent="0.2">
      <c r="B24" s="29" t="s">
        <v>219</v>
      </c>
      <c r="C24" s="29" t="s">
        <v>220</v>
      </c>
    </row>
    <row r="25" spans="2:3" x14ac:dyDescent="0.2">
      <c r="B25" s="29" t="s">
        <v>221</v>
      </c>
      <c r="C25" s="29" t="s">
        <v>222</v>
      </c>
    </row>
    <row r="26" spans="2:3" x14ac:dyDescent="0.2">
      <c r="B26" s="29" t="s">
        <v>135</v>
      </c>
      <c r="C26" s="29" t="s">
        <v>136</v>
      </c>
    </row>
    <row r="27" spans="2:3" x14ac:dyDescent="0.2">
      <c r="B27" s="29" t="s">
        <v>223</v>
      </c>
      <c r="C27" s="29" t="s">
        <v>224</v>
      </c>
    </row>
    <row r="28" spans="2:3" x14ac:dyDescent="0.2">
      <c r="B28" s="29" t="s">
        <v>137</v>
      </c>
      <c r="C28" s="29" t="s">
        <v>138</v>
      </c>
    </row>
    <row r="29" spans="2:3" x14ac:dyDescent="0.2">
      <c r="B29" s="29" t="s">
        <v>84</v>
      </c>
      <c r="C29" s="29" t="s">
        <v>85</v>
      </c>
    </row>
    <row r="30" spans="2:3" x14ac:dyDescent="0.2">
      <c r="B30" s="29" t="s">
        <v>184</v>
      </c>
      <c r="C30" s="29" t="s">
        <v>185</v>
      </c>
    </row>
    <row r="31" spans="2:3" x14ac:dyDescent="0.2">
      <c r="B31" s="29" t="s">
        <v>69</v>
      </c>
      <c r="C31" s="29" t="s">
        <v>70</v>
      </c>
    </row>
    <row r="32" spans="2:3" x14ac:dyDescent="0.2">
      <c r="B32" s="29" t="s">
        <v>132</v>
      </c>
      <c r="C32" s="29" t="s">
        <v>133</v>
      </c>
    </row>
    <row r="33" spans="2:3" x14ac:dyDescent="0.2">
      <c r="B33" s="29" t="s">
        <v>257</v>
      </c>
      <c r="C33" s="29" t="s">
        <v>258</v>
      </c>
    </row>
    <row r="34" spans="2:3" x14ac:dyDescent="0.2">
      <c r="B34" s="29" t="s">
        <v>39</v>
      </c>
      <c r="C34" s="29" t="s">
        <v>40</v>
      </c>
    </row>
    <row r="35" spans="2:3" x14ac:dyDescent="0.2">
      <c r="B35" s="29" t="s">
        <v>41</v>
      </c>
      <c r="C35" s="29" t="s">
        <v>42</v>
      </c>
    </row>
    <row r="36" spans="2:3" x14ac:dyDescent="0.2">
      <c r="B36" s="29" t="s">
        <v>169</v>
      </c>
      <c r="C36" s="29" t="s">
        <v>170</v>
      </c>
    </row>
    <row r="37" spans="2:3" x14ac:dyDescent="0.2">
      <c r="B37" s="29" t="s">
        <v>139</v>
      </c>
      <c r="C37" s="29" t="s">
        <v>140</v>
      </c>
    </row>
    <row r="38" spans="2:3" x14ac:dyDescent="0.2">
      <c r="B38" s="29" t="s">
        <v>57</v>
      </c>
      <c r="C38" s="29" t="s">
        <v>58</v>
      </c>
    </row>
    <row r="39" spans="2:3" x14ac:dyDescent="0.2">
      <c r="B39" s="29" t="s">
        <v>193</v>
      </c>
      <c r="C39" s="29" t="s">
        <v>194</v>
      </c>
    </row>
    <row r="40" spans="2:3" x14ac:dyDescent="0.2">
      <c r="B40" s="29" t="s">
        <v>204</v>
      </c>
      <c r="C40" s="29" t="s">
        <v>205</v>
      </c>
    </row>
    <row r="41" spans="2:3" x14ac:dyDescent="0.2">
      <c r="B41" s="29" t="s">
        <v>161</v>
      </c>
      <c r="C41" s="29" t="s">
        <v>162</v>
      </c>
    </row>
    <row r="42" spans="2:3" x14ac:dyDescent="0.2">
      <c r="B42" s="29" t="s">
        <v>216</v>
      </c>
      <c r="C42" s="29" t="s">
        <v>217</v>
      </c>
    </row>
    <row r="43" spans="2:3" x14ac:dyDescent="0.2">
      <c r="B43" s="29" t="s">
        <v>65</v>
      </c>
      <c r="C43" s="29" t="s">
        <v>66</v>
      </c>
    </row>
    <row r="44" spans="2:3" x14ac:dyDescent="0.2">
      <c r="B44" s="29" t="s">
        <v>176</v>
      </c>
      <c r="C44" s="29" t="s">
        <v>177</v>
      </c>
    </row>
    <row r="45" spans="2:3" x14ac:dyDescent="0.2">
      <c r="B45" s="29" t="s">
        <v>202</v>
      </c>
      <c r="C45" s="29" t="s">
        <v>203</v>
      </c>
    </row>
    <row r="46" spans="2:3" x14ac:dyDescent="0.2">
      <c r="B46" s="29" t="s">
        <v>93</v>
      </c>
      <c r="C46" s="29" t="s">
        <v>94</v>
      </c>
    </row>
    <row r="47" spans="2:3" x14ac:dyDescent="0.2">
      <c r="B47" s="29" t="s">
        <v>267</v>
      </c>
      <c r="C47" s="29" t="s">
        <v>268</v>
      </c>
    </row>
    <row r="48" spans="2:3" x14ac:dyDescent="0.2">
      <c r="B48" s="29" t="s">
        <v>210</v>
      </c>
      <c r="C48" s="29" t="s">
        <v>211</v>
      </c>
    </row>
    <row r="49" spans="2:3" x14ac:dyDescent="0.2">
      <c r="B49" s="29" t="s">
        <v>180</v>
      </c>
      <c r="C49" s="29" t="s">
        <v>181</v>
      </c>
    </row>
    <row r="50" spans="2:3" x14ac:dyDescent="0.2">
      <c r="B50" s="29" t="s">
        <v>124</v>
      </c>
      <c r="C50" s="29" t="s">
        <v>125</v>
      </c>
    </row>
    <row r="51" spans="2:3" x14ac:dyDescent="0.2">
      <c r="B51" s="29" t="s">
        <v>90</v>
      </c>
      <c r="C51" s="29" t="s">
        <v>91</v>
      </c>
    </row>
    <row r="52" spans="2:3" x14ac:dyDescent="0.2">
      <c r="B52" s="29" t="s">
        <v>90</v>
      </c>
      <c r="C52" s="29" t="s">
        <v>92</v>
      </c>
    </row>
    <row r="53" spans="2:3" x14ac:dyDescent="0.2">
      <c r="B53" s="29" t="s">
        <v>90</v>
      </c>
      <c r="C53" s="33" t="s">
        <v>92</v>
      </c>
    </row>
    <row r="54" spans="2:3" x14ac:dyDescent="0.2">
      <c r="B54" s="29" t="s">
        <v>88</v>
      </c>
      <c r="C54" s="29" t="s">
        <v>89</v>
      </c>
    </row>
    <row r="55" spans="2:3" x14ac:dyDescent="0.2">
      <c r="B55" s="29" t="s">
        <v>227</v>
      </c>
      <c r="C55" s="29" t="s">
        <v>228</v>
      </c>
    </row>
    <row r="56" spans="2:3" x14ac:dyDescent="0.2">
      <c r="B56" s="29" t="s">
        <v>239</v>
      </c>
      <c r="C56" s="29" t="s">
        <v>240</v>
      </c>
    </row>
    <row r="57" spans="2:3" x14ac:dyDescent="0.2">
      <c r="B57" s="29" t="s">
        <v>120</v>
      </c>
      <c r="C57" s="29" t="s">
        <v>121</v>
      </c>
    </row>
    <row r="58" spans="2:3" x14ac:dyDescent="0.2">
      <c r="B58" s="29" t="s">
        <v>198</v>
      </c>
      <c r="C58" s="29" t="s">
        <v>199</v>
      </c>
    </row>
    <row r="59" spans="2:3" x14ac:dyDescent="0.2">
      <c r="B59" s="29" t="s">
        <v>206</v>
      </c>
      <c r="C59" s="29" t="s">
        <v>207</v>
      </c>
    </row>
    <row r="60" spans="2:3" x14ac:dyDescent="0.2">
      <c r="B60" s="29" t="s">
        <v>249</v>
      </c>
      <c r="C60" s="29" t="s">
        <v>250</v>
      </c>
    </row>
    <row r="61" spans="2:3" x14ac:dyDescent="0.2">
      <c r="B61" s="29" t="s">
        <v>263</v>
      </c>
      <c r="C61" s="29" t="s">
        <v>264</v>
      </c>
    </row>
    <row r="62" spans="2:3" x14ac:dyDescent="0.2">
      <c r="B62" s="29" t="s">
        <v>269</v>
      </c>
      <c r="C62" s="29" t="s">
        <v>270</v>
      </c>
    </row>
    <row r="63" spans="2:3" x14ac:dyDescent="0.2">
      <c r="B63" s="29" t="s">
        <v>235</v>
      </c>
      <c r="C63" s="29" t="s">
        <v>236</v>
      </c>
    </row>
    <row r="64" spans="2:3" x14ac:dyDescent="0.2">
      <c r="B64" s="29" t="s">
        <v>53</v>
      </c>
      <c r="C64" s="29" t="s">
        <v>54</v>
      </c>
    </row>
    <row r="65" spans="2:3" x14ac:dyDescent="0.2">
      <c r="B65" s="29" t="s">
        <v>147</v>
      </c>
      <c r="C65" s="29" t="s">
        <v>148</v>
      </c>
    </row>
    <row r="66" spans="2:3" x14ac:dyDescent="0.2">
      <c r="B66" s="29" t="s">
        <v>67</v>
      </c>
      <c r="C66" s="29" t="s">
        <v>68</v>
      </c>
    </row>
    <row r="67" spans="2:3" x14ac:dyDescent="0.2">
      <c r="B67" s="29" t="s">
        <v>163</v>
      </c>
      <c r="C67" s="29" t="s">
        <v>164</v>
      </c>
    </row>
    <row r="68" spans="2:3" x14ac:dyDescent="0.2">
      <c r="B68" s="29" t="s">
        <v>225</v>
      </c>
      <c r="C68" s="29" t="s">
        <v>226</v>
      </c>
    </row>
    <row r="69" spans="2:3" x14ac:dyDescent="0.2">
      <c r="B69" s="29" t="s">
        <v>178</v>
      </c>
      <c r="C69" s="29" t="s">
        <v>179</v>
      </c>
    </row>
    <row r="70" spans="2:3" x14ac:dyDescent="0.2">
      <c r="B70" s="29" t="s">
        <v>218</v>
      </c>
      <c r="C70" s="29" t="s">
        <v>94</v>
      </c>
    </row>
    <row r="71" spans="2:3" x14ac:dyDescent="0.2">
      <c r="B71" s="29" t="s">
        <v>196</v>
      </c>
      <c r="C71" s="29" t="s">
        <v>197</v>
      </c>
    </row>
    <row r="72" spans="2:3" x14ac:dyDescent="0.2">
      <c r="B72" s="29" t="s">
        <v>149</v>
      </c>
      <c r="C72" s="29" t="s">
        <v>150</v>
      </c>
    </row>
    <row r="73" spans="2:3" x14ac:dyDescent="0.2">
      <c r="B73" s="29" t="s">
        <v>126</v>
      </c>
      <c r="C73" s="29" t="s">
        <v>127</v>
      </c>
    </row>
    <row r="74" spans="2:3" x14ac:dyDescent="0.2">
      <c r="B74" s="29" t="s">
        <v>43</v>
      </c>
      <c r="C74" s="29" t="s">
        <v>44</v>
      </c>
    </row>
    <row r="75" spans="2:3" x14ac:dyDescent="0.2">
      <c r="B75" s="29" t="s">
        <v>81</v>
      </c>
      <c r="C75" s="29" t="s">
        <v>82</v>
      </c>
    </row>
    <row r="76" spans="2:3" x14ac:dyDescent="0.2">
      <c r="B76" s="29" t="s">
        <v>173</v>
      </c>
      <c r="C76" s="29" t="s">
        <v>174</v>
      </c>
    </row>
    <row r="77" spans="2:3" x14ac:dyDescent="0.2">
      <c r="B77" s="29" t="s">
        <v>46</v>
      </c>
      <c r="C77" s="29" t="s">
        <v>47</v>
      </c>
    </row>
    <row r="78" spans="2:3" x14ac:dyDescent="0.2">
      <c r="B78" s="29" t="s">
        <v>55</v>
      </c>
      <c r="C78" s="29" t="s">
        <v>56</v>
      </c>
    </row>
    <row r="79" spans="2:3" x14ac:dyDescent="0.2">
      <c r="B79" s="29" t="s">
        <v>55</v>
      </c>
      <c r="C79" s="29" t="s">
        <v>95</v>
      </c>
    </row>
    <row r="80" spans="2:3" x14ac:dyDescent="0.2">
      <c r="B80" s="29" t="s">
        <v>98</v>
      </c>
      <c r="C80" s="29" t="s">
        <v>99</v>
      </c>
    </row>
    <row r="81" spans="2:3" x14ac:dyDescent="0.2">
      <c r="B81" s="29" t="s">
        <v>110</v>
      </c>
      <c r="C81" s="29" t="s">
        <v>111</v>
      </c>
    </row>
    <row r="82" spans="2:3" x14ac:dyDescent="0.2">
      <c r="B82" s="29" t="s">
        <v>188</v>
      </c>
      <c r="C82" s="29" t="s">
        <v>195</v>
      </c>
    </row>
    <row r="83" spans="2:3" x14ac:dyDescent="0.2">
      <c r="B83" s="29" t="s">
        <v>108</v>
      </c>
      <c r="C83" s="29" t="s">
        <v>109</v>
      </c>
    </row>
    <row r="84" spans="2:3" x14ac:dyDescent="0.2">
      <c r="B84" s="29" t="s">
        <v>251</v>
      </c>
      <c r="C84" s="29" t="s">
        <v>252</v>
      </c>
    </row>
    <row r="85" spans="2:3" x14ac:dyDescent="0.2">
      <c r="B85" s="29" t="s">
        <v>151</v>
      </c>
      <c r="C85" s="29" t="s">
        <v>152</v>
      </c>
    </row>
    <row r="86" spans="2:3" x14ac:dyDescent="0.2">
      <c r="B86" s="29" t="s">
        <v>253</v>
      </c>
      <c r="C86" s="29" t="s">
        <v>254</v>
      </c>
    </row>
    <row r="87" spans="2:3" x14ac:dyDescent="0.2">
      <c r="B87" s="29" t="s">
        <v>63</v>
      </c>
      <c r="C87" s="29" t="s">
        <v>64</v>
      </c>
    </row>
    <row r="88" spans="2:3" x14ac:dyDescent="0.2">
      <c r="B88" s="29" t="s">
        <v>186</v>
      </c>
      <c r="C88" s="29" t="s">
        <v>187</v>
      </c>
    </row>
    <row r="89" spans="2:3" x14ac:dyDescent="0.2">
      <c r="B89" s="29" t="s">
        <v>165</v>
      </c>
      <c r="C89" s="29" t="s">
        <v>166</v>
      </c>
    </row>
    <row r="90" spans="2:3" x14ac:dyDescent="0.2">
      <c r="B90" s="29" t="s">
        <v>255</v>
      </c>
      <c r="C90" s="29" t="s">
        <v>256</v>
      </c>
    </row>
    <row r="91" spans="2:3" x14ac:dyDescent="0.2">
      <c r="B91" s="29" t="s">
        <v>71</v>
      </c>
      <c r="C91" s="29" t="s">
        <v>72</v>
      </c>
    </row>
    <row r="92" spans="2:3" x14ac:dyDescent="0.2">
      <c r="B92" s="29" t="s">
        <v>259</v>
      </c>
      <c r="C92" s="29" t="s">
        <v>260</v>
      </c>
    </row>
    <row r="93" spans="2:3" x14ac:dyDescent="0.2">
      <c r="B93" s="29" t="s">
        <v>122</v>
      </c>
      <c r="C93" s="29" t="s">
        <v>123</v>
      </c>
    </row>
    <row r="94" spans="2:3" x14ac:dyDescent="0.2">
      <c r="B94" s="29" t="s">
        <v>112</v>
      </c>
      <c r="C94" s="29" t="s">
        <v>113</v>
      </c>
    </row>
    <row r="95" spans="2:3" x14ac:dyDescent="0.2">
      <c r="B95" s="29" t="s">
        <v>73</v>
      </c>
      <c r="C95" s="29" t="s">
        <v>74</v>
      </c>
    </row>
    <row r="96" spans="2:3" x14ac:dyDescent="0.2">
      <c r="B96" s="29" t="s">
        <v>153</v>
      </c>
      <c r="C96" s="29" t="s">
        <v>154</v>
      </c>
    </row>
    <row r="97" spans="2:3" x14ac:dyDescent="0.2">
      <c r="B97" s="29" t="s">
        <v>243</v>
      </c>
      <c r="C97" s="29" t="s">
        <v>244</v>
      </c>
    </row>
    <row r="98" spans="2:3" x14ac:dyDescent="0.2">
      <c r="B98" s="29" t="s">
        <v>31</v>
      </c>
      <c r="C98" s="29" t="s">
        <v>32</v>
      </c>
    </row>
    <row r="99" spans="2:3" x14ac:dyDescent="0.2">
      <c r="B99" s="29" t="s">
        <v>75</v>
      </c>
      <c r="C99" s="29" t="s">
        <v>76</v>
      </c>
    </row>
    <row r="100" spans="2:3" x14ac:dyDescent="0.2">
      <c r="B100" s="29" t="s">
        <v>189</v>
      </c>
      <c r="C100" s="29" t="s">
        <v>190</v>
      </c>
    </row>
    <row r="101" spans="2:3" x14ac:dyDescent="0.2">
      <c r="B101" s="29" t="s">
        <v>106</v>
      </c>
      <c r="C101" s="29" t="s">
        <v>107</v>
      </c>
    </row>
    <row r="102" spans="2:3" x14ac:dyDescent="0.2">
      <c r="B102" s="29" t="s">
        <v>261</v>
      </c>
      <c r="C102" s="29" t="s">
        <v>262</v>
      </c>
    </row>
    <row r="103" spans="2:3" x14ac:dyDescent="0.2">
      <c r="B103" s="29" t="s">
        <v>114</v>
      </c>
      <c r="C103" s="29" t="s">
        <v>115</v>
      </c>
    </row>
    <row r="104" spans="2:3" x14ac:dyDescent="0.2">
      <c r="B104" s="29" t="s">
        <v>159</v>
      </c>
      <c r="C104" s="29" t="s">
        <v>160</v>
      </c>
    </row>
    <row r="105" spans="2:3" x14ac:dyDescent="0.2">
      <c r="B105" s="29" t="s">
        <v>208</v>
      </c>
      <c r="C105" s="29" t="s">
        <v>209</v>
      </c>
    </row>
    <row r="106" spans="2:3" x14ac:dyDescent="0.2">
      <c r="B106" s="29" t="s">
        <v>116</v>
      </c>
      <c r="C106" s="29" t="s">
        <v>117</v>
      </c>
    </row>
    <row r="107" spans="2:3" x14ac:dyDescent="0.2">
      <c r="B107" s="29" t="s">
        <v>191</v>
      </c>
      <c r="C107" s="29" t="s">
        <v>192</v>
      </c>
    </row>
    <row r="108" spans="2:3" x14ac:dyDescent="0.2">
      <c r="B108" s="29" t="s">
        <v>51</v>
      </c>
      <c r="C108" s="29" t="s">
        <v>52</v>
      </c>
    </row>
    <row r="109" spans="2:3" x14ac:dyDescent="0.2">
      <c r="B109" s="29" t="s">
        <v>61</v>
      </c>
      <c r="C109" s="29" t="s">
        <v>62</v>
      </c>
    </row>
    <row r="110" spans="2:3" x14ac:dyDescent="0.2">
      <c r="B110" s="29" t="s">
        <v>171</v>
      </c>
      <c r="C110" s="29" t="s">
        <v>172</v>
      </c>
    </row>
    <row r="111" spans="2:3" x14ac:dyDescent="0.2">
      <c r="B111" s="29" t="s">
        <v>241</v>
      </c>
      <c r="C111" s="29" t="s">
        <v>242</v>
      </c>
    </row>
    <row r="112" spans="2:3" x14ac:dyDescent="0.2">
      <c r="B112" s="29" t="s">
        <v>229</v>
      </c>
      <c r="C112" s="29" t="s">
        <v>230</v>
      </c>
    </row>
    <row r="113" spans="2:3" x14ac:dyDescent="0.2">
      <c r="B113" s="29" t="s">
        <v>49</v>
      </c>
      <c r="C113" s="29" t="s">
        <v>50</v>
      </c>
    </row>
    <row r="114" spans="2:3" x14ac:dyDescent="0.2">
      <c r="B114" s="29" t="s">
        <v>265</v>
      </c>
      <c r="C114" s="29" t="s">
        <v>266</v>
      </c>
    </row>
    <row r="115" spans="2:3" x14ac:dyDescent="0.2">
      <c r="B115" s="29" t="s">
        <v>141</v>
      </c>
      <c r="C115" s="29" t="s">
        <v>142</v>
      </c>
    </row>
    <row r="116" spans="2:3" x14ac:dyDescent="0.2">
      <c r="B116" s="29" t="s">
        <v>128</v>
      </c>
      <c r="C116" s="29" t="s">
        <v>129</v>
      </c>
    </row>
    <row r="117" spans="2:3" x14ac:dyDescent="0.2">
      <c r="B117" s="29" t="s">
        <v>33</v>
      </c>
      <c r="C117" s="29" t="s">
        <v>34</v>
      </c>
    </row>
    <row r="118" spans="2:3" x14ac:dyDescent="0.2">
      <c r="B118" s="29" t="s">
        <v>167</v>
      </c>
      <c r="C118" s="29" t="s">
        <v>168</v>
      </c>
    </row>
    <row r="119" spans="2:3" x14ac:dyDescent="0.2">
      <c r="B119" s="29" t="s">
        <v>77</v>
      </c>
      <c r="C119" s="29" t="s">
        <v>78</v>
      </c>
    </row>
    <row r="120" spans="2:3" x14ac:dyDescent="0.2">
      <c r="B120" s="29" t="s">
        <v>155</v>
      </c>
      <c r="C120" s="29" t="s">
        <v>156</v>
      </c>
    </row>
    <row r="121" spans="2:3" x14ac:dyDescent="0.2">
      <c r="B121" s="29" t="s">
        <v>118</v>
      </c>
      <c r="C121" s="29" t="s">
        <v>119</v>
      </c>
    </row>
    <row r="122" spans="2:3" x14ac:dyDescent="0.2">
      <c r="B122" s="29" t="s">
        <v>130</v>
      </c>
      <c r="C122" s="29" t="s">
        <v>131</v>
      </c>
    </row>
    <row r="123" spans="2:3" x14ac:dyDescent="0.2">
      <c r="B123" s="30" t="s">
        <v>212</v>
      </c>
      <c r="C123" s="30" t="s">
        <v>213</v>
      </c>
    </row>
    <row r="124" spans="2:3" x14ac:dyDescent="0.2">
      <c r="B124"/>
      <c r="C124"/>
    </row>
    <row r="125" spans="2:3" x14ac:dyDescent="0.2">
      <c r="B125"/>
      <c r="C125"/>
    </row>
    <row r="126" spans="2:3" x14ac:dyDescent="0.2">
      <c r="B126"/>
      <c r="C126"/>
    </row>
    <row r="127" spans="2:3" x14ac:dyDescent="0.2">
      <c r="B127"/>
      <c r="C127"/>
    </row>
    <row r="128" spans="2:3" x14ac:dyDescent="0.2">
      <c r="B128"/>
      <c r="C128"/>
    </row>
    <row r="129" spans="2:3" x14ac:dyDescent="0.2">
      <c r="B129"/>
      <c r="C129"/>
    </row>
    <row r="130" spans="2:3" x14ac:dyDescent="0.2">
      <c r="B130"/>
      <c r="C130"/>
    </row>
    <row r="131" spans="2:3" x14ac:dyDescent="0.2">
      <c r="B131"/>
      <c r="C131"/>
    </row>
    <row r="132" spans="2:3" x14ac:dyDescent="0.2">
      <c r="B132"/>
      <c r="C132"/>
    </row>
    <row r="133" spans="2:3" x14ac:dyDescent="0.2">
      <c r="B133"/>
      <c r="C133"/>
    </row>
    <row r="134" spans="2:3" x14ac:dyDescent="0.2">
      <c r="B134"/>
      <c r="C134"/>
    </row>
    <row r="135" spans="2:3" x14ac:dyDescent="0.2">
      <c r="B135"/>
      <c r="C135"/>
    </row>
    <row r="136" spans="2:3" x14ac:dyDescent="0.2">
      <c r="B136"/>
      <c r="C136"/>
    </row>
    <row r="137" spans="2:3" x14ac:dyDescent="0.2">
      <c r="B137"/>
      <c r="C137"/>
    </row>
    <row r="138" spans="2:3" x14ac:dyDescent="0.2">
      <c r="B138"/>
      <c r="C138"/>
    </row>
    <row r="139" spans="2:3" x14ac:dyDescent="0.2">
      <c r="B139"/>
      <c r="C139"/>
    </row>
    <row r="140" spans="2:3" x14ac:dyDescent="0.2">
      <c r="B140"/>
      <c r="C140"/>
    </row>
    <row r="141" spans="2:3" x14ac:dyDescent="0.2">
      <c r="B141"/>
      <c r="C141"/>
    </row>
    <row r="142" spans="2:3" x14ac:dyDescent="0.2">
      <c r="B142"/>
      <c r="C142"/>
    </row>
    <row r="143" spans="2:3" x14ac:dyDescent="0.2">
      <c r="B143"/>
      <c r="C143"/>
    </row>
    <row r="144" spans="2:3" x14ac:dyDescent="0.2">
      <c r="B144"/>
      <c r="C144"/>
    </row>
    <row r="145" spans="2:3" x14ac:dyDescent="0.2">
      <c r="B145"/>
      <c r="C145"/>
    </row>
    <row r="146" spans="2:3" x14ac:dyDescent="0.2">
      <c r="B146"/>
      <c r="C146"/>
    </row>
    <row r="147" spans="2:3" x14ac:dyDescent="0.2">
      <c r="B147"/>
      <c r="C147"/>
    </row>
    <row r="148" spans="2:3" x14ac:dyDescent="0.2">
      <c r="B148"/>
      <c r="C148"/>
    </row>
    <row r="149" spans="2:3" x14ac:dyDescent="0.2">
      <c r="B149"/>
      <c r="C149"/>
    </row>
    <row r="150" spans="2:3" x14ac:dyDescent="0.2">
      <c r="B150"/>
      <c r="C150"/>
    </row>
    <row r="151" spans="2:3" x14ac:dyDescent="0.2">
      <c r="B151"/>
      <c r="C151"/>
    </row>
    <row r="152" spans="2:3" x14ac:dyDescent="0.2">
      <c r="B152"/>
      <c r="C152"/>
    </row>
    <row r="153" spans="2:3" x14ac:dyDescent="0.2">
      <c r="B153"/>
      <c r="C153"/>
    </row>
    <row r="154" spans="2:3" x14ac:dyDescent="0.2">
      <c r="B154"/>
      <c r="C154"/>
    </row>
    <row r="155" spans="2:3" x14ac:dyDescent="0.2">
      <c r="B155"/>
      <c r="C155"/>
    </row>
    <row r="156" spans="2:3" x14ac:dyDescent="0.2">
      <c r="B156"/>
      <c r="C156"/>
    </row>
    <row r="157" spans="2:3" x14ac:dyDescent="0.2">
      <c r="B157"/>
      <c r="C157"/>
    </row>
    <row r="158" spans="2:3" x14ac:dyDescent="0.2">
      <c r="B158"/>
      <c r="C158"/>
    </row>
    <row r="159" spans="2:3" x14ac:dyDescent="0.2">
      <c r="B159"/>
      <c r="C159"/>
    </row>
    <row r="160" spans="2:3" x14ac:dyDescent="0.2">
      <c r="B160"/>
      <c r="C160"/>
    </row>
    <row r="161" spans="2:3" x14ac:dyDescent="0.2">
      <c r="B161"/>
      <c r="C161"/>
    </row>
    <row r="162" spans="2:3" x14ac:dyDescent="0.2">
      <c r="B162"/>
      <c r="C162"/>
    </row>
    <row r="163" spans="2:3" x14ac:dyDescent="0.2">
      <c r="B163"/>
      <c r="C163"/>
    </row>
    <row r="164" spans="2:3" x14ac:dyDescent="0.2">
      <c r="B164"/>
      <c r="C164"/>
    </row>
    <row r="165" spans="2:3" x14ac:dyDescent="0.2">
      <c r="B165"/>
      <c r="C165"/>
    </row>
    <row r="166" spans="2:3" x14ac:dyDescent="0.2">
      <c r="B166"/>
      <c r="C166"/>
    </row>
    <row r="167" spans="2:3" x14ac:dyDescent="0.2">
      <c r="B167"/>
      <c r="C167"/>
    </row>
    <row r="168" spans="2:3" x14ac:dyDescent="0.2">
      <c r="B168"/>
      <c r="C168"/>
    </row>
    <row r="169" spans="2:3" x14ac:dyDescent="0.2">
      <c r="B169"/>
      <c r="C169"/>
    </row>
    <row r="170" spans="2:3" x14ac:dyDescent="0.2">
      <c r="B170"/>
      <c r="C170"/>
    </row>
    <row r="171" spans="2:3" x14ac:dyDescent="0.2">
      <c r="B171"/>
      <c r="C171"/>
    </row>
    <row r="172" spans="2:3" x14ac:dyDescent="0.2">
      <c r="B172"/>
      <c r="C172"/>
    </row>
    <row r="173" spans="2:3" x14ac:dyDescent="0.2">
      <c r="B173"/>
      <c r="C173"/>
    </row>
    <row r="174" spans="2:3" x14ac:dyDescent="0.2">
      <c r="B174"/>
      <c r="C174"/>
    </row>
    <row r="175" spans="2:3" x14ac:dyDescent="0.2">
      <c r="B175"/>
      <c r="C175"/>
    </row>
    <row r="176" spans="2:3" x14ac:dyDescent="0.2">
      <c r="B176"/>
      <c r="C176"/>
    </row>
    <row r="177" spans="2:3" x14ac:dyDescent="0.2">
      <c r="B177"/>
      <c r="C177"/>
    </row>
    <row r="178" spans="2:3" x14ac:dyDescent="0.2">
      <c r="B178"/>
      <c r="C178"/>
    </row>
    <row r="179" spans="2:3" x14ac:dyDescent="0.2">
      <c r="B179"/>
      <c r="C179"/>
    </row>
    <row r="180" spans="2:3" x14ac:dyDescent="0.2">
      <c r="B180"/>
      <c r="C180"/>
    </row>
    <row r="181" spans="2:3" x14ac:dyDescent="0.2">
      <c r="B181"/>
      <c r="C181"/>
    </row>
    <row r="182" spans="2:3" x14ac:dyDescent="0.2">
      <c r="B182"/>
      <c r="C182"/>
    </row>
    <row r="183" spans="2:3" x14ac:dyDescent="0.2">
      <c r="B183"/>
      <c r="C183"/>
    </row>
    <row r="184" spans="2:3" x14ac:dyDescent="0.2">
      <c r="B184"/>
      <c r="C184"/>
    </row>
    <row r="185" spans="2:3" x14ac:dyDescent="0.2">
      <c r="B185"/>
      <c r="C185"/>
    </row>
    <row r="186" spans="2:3" x14ac:dyDescent="0.2">
      <c r="B186"/>
      <c r="C186"/>
    </row>
    <row r="187" spans="2:3" x14ac:dyDescent="0.2">
      <c r="B187"/>
      <c r="C187"/>
    </row>
    <row r="188" spans="2:3" x14ac:dyDescent="0.2">
      <c r="B188"/>
      <c r="C188"/>
    </row>
    <row r="189" spans="2:3" x14ac:dyDescent="0.2">
      <c r="B189"/>
      <c r="C189"/>
    </row>
    <row r="190" spans="2:3" x14ac:dyDescent="0.2">
      <c r="B190"/>
      <c r="C190"/>
    </row>
    <row r="191" spans="2:3" x14ac:dyDescent="0.2">
      <c r="B191"/>
      <c r="C191"/>
    </row>
    <row r="192" spans="2:3" x14ac:dyDescent="0.2">
      <c r="B192"/>
      <c r="C192"/>
    </row>
    <row r="193" spans="2:3" x14ac:dyDescent="0.2">
      <c r="B193"/>
      <c r="C193"/>
    </row>
    <row r="194" spans="2:3" x14ac:dyDescent="0.2">
      <c r="B194"/>
      <c r="C194"/>
    </row>
    <row r="195" spans="2:3" x14ac:dyDescent="0.2">
      <c r="B195"/>
      <c r="C195"/>
    </row>
    <row r="196" spans="2:3" x14ac:dyDescent="0.2">
      <c r="B196"/>
      <c r="C196"/>
    </row>
    <row r="197" spans="2:3" x14ac:dyDescent="0.2">
      <c r="B197"/>
      <c r="C197"/>
    </row>
    <row r="198" spans="2:3" x14ac:dyDescent="0.2">
      <c r="B198"/>
      <c r="C198"/>
    </row>
    <row r="199" spans="2:3" x14ac:dyDescent="0.2">
      <c r="B199"/>
      <c r="C199"/>
    </row>
    <row r="200" spans="2:3" x14ac:dyDescent="0.2">
      <c r="B200"/>
      <c r="C200"/>
    </row>
    <row r="201" spans="2:3" x14ac:dyDescent="0.2">
      <c r="B201"/>
      <c r="C201"/>
    </row>
    <row r="202" spans="2:3" x14ac:dyDescent="0.2">
      <c r="B202"/>
      <c r="C202"/>
    </row>
    <row r="203" spans="2:3" x14ac:dyDescent="0.2">
      <c r="B203"/>
      <c r="C203"/>
    </row>
    <row r="204" spans="2:3" x14ac:dyDescent="0.2">
      <c r="B204"/>
      <c r="C204"/>
    </row>
    <row r="205" spans="2:3" x14ac:dyDescent="0.2">
      <c r="B205"/>
      <c r="C205"/>
    </row>
    <row r="206" spans="2:3" x14ac:dyDescent="0.2">
      <c r="B206"/>
      <c r="C206"/>
    </row>
    <row r="207" spans="2:3" x14ac:dyDescent="0.2">
      <c r="B207"/>
      <c r="C207"/>
    </row>
    <row r="208" spans="2:3" x14ac:dyDescent="0.2">
      <c r="B208"/>
      <c r="C208"/>
    </row>
    <row r="209" spans="2:3" x14ac:dyDescent="0.2">
      <c r="B209"/>
      <c r="C209"/>
    </row>
    <row r="210" spans="2:3" x14ac:dyDescent="0.2">
      <c r="B210"/>
      <c r="C210"/>
    </row>
    <row r="211" spans="2:3" x14ac:dyDescent="0.2">
      <c r="B211"/>
      <c r="C211"/>
    </row>
    <row r="212" spans="2:3" x14ac:dyDescent="0.2">
      <c r="B212"/>
      <c r="C212"/>
    </row>
    <row r="213" spans="2:3" x14ac:dyDescent="0.2">
      <c r="B213"/>
      <c r="C213"/>
    </row>
    <row r="214" spans="2:3" x14ac:dyDescent="0.2">
      <c r="B214"/>
      <c r="C214"/>
    </row>
    <row r="215" spans="2:3" x14ac:dyDescent="0.2">
      <c r="B215"/>
      <c r="C215"/>
    </row>
    <row r="216" spans="2:3" x14ac:dyDescent="0.2">
      <c r="B216"/>
      <c r="C216"/>
    </row>
    <row r="217" spans="2:3" x14ac:dyDescent="0.2">
      <c r="B217"/>
      <c r="C217"/>
    </row>
    <row r="218" spans="2:3" x14ac:dyDescent="0.2">
      <c r="B218"/>
      <c r="C218"/>
    </row>
    <row r="219" spans="2:3" x14ac:dyDescent="0.2">
      <c r="B219"/>
      <c r="C219"/>
    </row>
    <row r="220" spans="2:3" x14ac:dyDescent="0.2">
      <c r="B220"/>
      <c r="C220"/>
    </row>
    <row r="221" spans="2:3" x14ac:dyDescent="0.2">
      <c r="B221"/>
      <c r="C221"/>
    </row>
    <row r="222" spans="2:3" x14ac:dyDescent="0.2">
      <c r="B222"/>
      <c r="C222"/>
    </row>
    <row r="223" spans="2:3" x14ac:dyDescent="0.2">
      <c r="B223"/>
      <c r="C223"/>
    </row>
    <row r="224" spans="2:3" x14ac:dyDescent="0.2">
      <c r="B224"/>
      <c r="C224"/>
    </row>
    <row r="225" spans="2:3" x14ac:dyDescent="0.2">
      <c r="B225"/>
      <c r="C225"/>
    </row>
    <row r="226" spans="2:3" x14ac:dyDescent="0.2">
      <c r="B226"/>
      <c r="C226"/>
    </row>
    <row r="227" spans="2:3" x14ac:dyDescent="0.2">
      <c r="B227"/>
      <c r="C227"/>
    </row>
    <row r="228" spans="2:3" x14ac:dyDescent="0.2">
      <c r="B228"/>
      <c r="C228"/>
    </row>
    <row r="229" spans="2:3" x14ac:dyDescent="0.2">
      <c r="B229"/>
      <c r="C229"/>
    </row>
    <row r="230" spans="2:3" x14ac:dyDescent="0.2">
      <c r="B230"/>
      <c r="C230"/>
    </row>
    <row r="231" spans="2:3" x14ac:dyDescent="0.2">
      <c r="B231"/>
      <c r="C231"/>
    </row>
    <row r="232" spans="2:3" x14ac:dyDescent="0.2">
      <c r="B232"/>
      <c r="C232"/>
    </row>
    <row r="233" spans="2:3" x14ac:dyDescent="0.2">
      <c r="B233"/>
      <c r="C233"/>
    </row>
    <row r="234" spans="2:3" x14ac:dyDescent="0.2">
      <c r="B234"/>
      <c r="C234"/>
    </row>
    <row r="235" spans="2:3" x14ac:dyDescent="0.2">
      <c r="B235"/>
      <c r="C235"/>
    </row>
    <row r="236" spans="2:3" x14ac:dyDescent="0.2">
      <c r="B236"/>
      <c r="C236"/>
    </row>
    <row r="237" spans="2:3" x14ac:dyDescent="0.2">
      <c r="B237"/>
      <c r="C237"/>
    </row>
    <row r="238" spans="2:3" x14ac:dyDescent="0.2">
      <c r="B238"/>
      <c r="C238"/>
    </row>
    <row r="239" spans="2:3" x14ac:dyDescent="0.2">
      <c r="B239"/>
      <c r="C239"/>
    </row>
    <row r="240" spans="2:3" x14ac:dyDescent="0.2">
      <c r="B240"/>
      <c r="C240"/>
    </row>
    <row r="241" spans="2:3" x14ac:dyDescent="0.2">
      <c r="B241"/>
      <c r="C241"/>
    </row>
    <row r="242" spans="2:3" x14ac:dyDescent="0.2">
      <c r="B242"/>
      <c r="C242"/>
    </row>
    <row r="243" spans="2:3" x14ac:dyDescent="0.2">
      <c r="B243"/>
      <c r="C243"/>
    </row>
    <row r="244" spans="2:3" x14ac:dyDescent="0.2">
      <c r="B244"/>
      <c r="C244"/>
    </row>
    <row r="245" spans="2:3" x14ac:dyDescent="0.2">
      <c r="B245"/>
      <c r="C245"/>
    </row>
    <row r="246" spans="2:3" x14ac:dyDescent="0.2">
      <c r="B246"/>
      <c r="C246"/>
    </row>
    <row r="247" spans="2:3" x14ac:dyDescent="0.2">
      <c r="B247"/>
      <c r="C247"/>
    </row>
    <row r="248" spans="2:3" x14ac:dyDescent="0.2">
      <c r="B248"/>
      <c r="C248"/>
    </row>
    <row r="249" spans="2:3" x14ac:dyDescent="0.2">
      <c r="B249"/>
      <c r="C249"/>
    </row>
    <row r="250" spans="2:3" x14ac:dyDescent="0.2">
      <c r="B250"/>
      <c r="C250"/>
    </row>
    <row r="251" spans="2:3" x14ac:dyDescent="0.2">
      <c r="B251"/>
      <c r="C251"/>
    </row>
    <row r="252" spans="2:3" x14ac:dyDescent="0.2">
      <c r="B252"/>
      <c r="C252"/>
    </row>
    <row r="253" spans="2:3" x14ac:dyDescent="0.2">
      <c r="B253"/>
      <c r="C253"/>
    </row>
    <row r="254" spans="2:3" x14ac:dyDescent="0.2">
      <c r="B254"/>
      <c r="C254"/>
    </row>
    <row r="255" spans="2:3" x14ac:dyDescent="0.2">
      <c r="B255"/>
      <c r="C255"/>
    </row>
    <row r="256" spans="2:3" x14ac:dyDescent="0.2">
      <c r="B256"/>
      <c r="C256"/>
    </row>
    <row r="257" spans="2:3" x14ac:dyDescent="0.2">
      <c r="B257"/>
      <c r="C257"/>
    </row>
    <row r="258" spans="2:3" x14ac:dyDescent="0.2">
      <c r="B258"/>
      <c r="C258"/>
    </row>
    <row r="259" spans="2:3" x14ac:dyDescent="0.2">
      <c r="B259"/>
      <c r="C259"/>
    </row>
    <row r="260" spans="2:3" x14ac:dyDescent="0.2">
      <c r="B260"/>
      <c r="C260"/>
    </row>
    <row r="261" spans="2:3" x14ac:dyDescent="0.2">
      <c r="B261"/>
      <c r="C261"/>
    </row>
    <row r="262" spans="2:3" x14ac:dyDescent="0.2">
      <c r="B262"/>
      <c r="C262"/>
    </row>
    <row r="263" spans="2:3" x14ac:dyDescent="0.2">
      <c r="B263"/>
      <c r="C263"/>
    </row>
    <row r="264" spans="2:3" x14ac:dyDescent="0.2">
      <c r="B264"/>
      <c r="C264"/>
    </row>
    <row r="265" spans="2:3" x14ac:dyDescent="0.2">
      <c r="B265"/>
      <c r="C265"/>
    </row>
    <row r="266" spans="2:3" x14ac:dyDescent="0.2">
      <c r="B266"/>
      <c r="C266"/>
    </row>
    <row r="267" spans="2:3" x14ac:dyDescent="0.2">
      <c r="B267"/>
      <c r="C267"/>
    </row>
    <row r="268" spans="2:3" x14ac:dyDescent="0.2">
      <c r="B268"/>
      <c r="C268"/>
    </row>
    <row r="269" spans="2:3" x14ac:dyDescent="0.2">
      <c r="B269"/>
      <c r="C269"/>
    </row>
    <row r="270" spans="2:3" x14ac:dyDescent="0.2">
      <c r="B270"/>
      <c r="C270"/>
    </row>
    <row r="271" spans="2:3" x14ac:dyDescent="0.2">
      <c r="B271"/>
      <c r="C271"/>
    </row>
    <row r="272" spans="2:3" x14ac:dyDescent="0.2">
      <c r="B272"/>
      <c r="C272"/>
    </row>
    <row r="273" spans="2:3" x14ac:dyDescent="0.2">
      <c r="B273"/>
      <c r="C273"/>
    </row>
    <row r="274" spans="2:3" x14ac:dyDescent="0.2">
      <c r="B274"/>
      <c r="C274"/>
    </row>
    <row r="275" spans="2:3" x14ac:dyDescent="0.2">
      <c r="B275"/>
      <c r="C275"/>
    </row>
    <row r="276" spans="2:3" x14ac:dyDescent="0.2">
      <c r="B276"/>
      <c r="C276"/>
    </row>
    <row r="277" spans="2:3" x14ac:dyDescent="0.2">
      <c r="B277"/>
      <c r="C277"/>
    </row>
    <row r="278" spans="2:3" x14ac:dyDescent="0.2">
      <c r="B278"/>
      <c r="C278"/>
    </row>
    <row r="279" spans="2:3" x14ac:dyDescent="0.2">
      <c r="B279"/>
      <c r="C279"/>
    </row>
    <row r="280" spans="2:3" x14ac:dyDescent="0.2">
      <c r="B280"/>
      <c r="C280"/>
    </row>
    <row r="281" spans="2:3" x14ac:dyDescent="0.2">
      <c r="B281"/>
      <c r="C281"/>
    </row>
    <row r="282" spans="2:3" x14ac:dyDescent="0.2">
      <c r="B282"/>
      <c r="C282"/>
    </row>
    <row r="283" spans="2:3" x14ac:dyDescent="0.2">
      <c r="B283"/>
      <c r="C283"/>
    </row>
    <row r="284" spans="2:3" x14ac:dyDescent="0.2">
      <c r="B284"/>
      <c r="C284"/>
    </row>
    <row r="285" spans="2:3" x14ac:dyDescent="0.2">
      <c r="B285"/>
      <c r="C285"/>
    </row>
    <row r="286" spans="2:3" x14ac:dyDescent="0.2">
      <c r="B286"/>
      <c r="C286"/>
    </row>
    <row r="287" spans="2:3" x14ac:dyDescent="0.2">
      <c r="B287"/>
      <c r="C287"/>
    </row>
    <row r="288" spans="2:3" x14ac:dyDescent="0.2">
      <c r="B288"/>
      <c r="C288"/>
    </row>
    <row r="289" spans="2:3" x14ac:dyDescent="0.2">
      <c r="B289"/>
      <c r="C289"/>
    </row>
    <row r="290" spans="2:3" x14ac:dyDescent="0.2">
      <c r="B290"/>
      <c r="C290"/>
    </row>
    <row r="291" spans="2:3" x14ac:dyDescent="0.2">
      <c r="B291"/>
      <c r="C291"/>
    </row>
    <row r="292" spans="2:3" x14ac:dyDescent="0.2">
      <c r="B292"/>
      <c r="C292"/>
    </row>
    <row r="293" spans="2:3" x14ac:dyDescent="0.2">
      <c r="B293"/>
      <c r="C293"/>
    </row>
    <row r="294" spans="2:3" x14ac:dyDescent="0.2">
      <c r="B294"/>
      <c r="C294"/>
    </row>
    <row r="295" spans="2:3" x14ac:dyDescent="0.2">
      <c r="B295"/>
      <c r="C295"/>
    </row>
    <row r="296" spans="2:3" x14ac:dyDescent="0.2">
      <c r="B296"/>
      <c r="C296"/>
    </row>
    <row r="297" spans="2:3" x14ac:dyDescent="0.2">
      <c r="B297"/>
      <c r="C297"/>
    </row>
    <row r="298" spans="2:3" x14ac:dyDescent="0.2">
      <c r="B298"/>
      <c r="C298"/>
    </row>
    <row r="299" spans="2:3" x14ac:dyDescent="0.2">
      <c r="B299"/>
      <c r="C299"/>
    </row>
    <row r="300" spans="2:3" x14ac:dyDescent="0.2">
      <c r="B300"/>
      <c r="C300"/>
    </row>
    <row r="301" spans="2:3" x14ac:dyDescent="0.2">
      <c r="B301"/>
      <c r="C301"/>
    </row>
    <row r="302" spans="2:3" x14ac:dyDescent="0.2">
      <c r="B302"/>
      <c r="C302"/>
    </row>
    <row r="303" spans="2:3" x14ac:dyDescent="0.2">
      <c r="B303"/>
      <c r="C303"/>
    </row>
    <row r="304" spans="2:3" x14ac:dyDescent="0.2">
      <c r="B304"/>
      <c r="C304"/>
    </row>
    <row r="305" spans="2:3" x14ac:dyDescent="0.2">
      <c r="B305"/>
      <c r="C305"/>
    </row>
    <row r="306" spans="2:3" x14ac:dyDescent="0.2">
      <c r="B306"/>
      <c r="C306"/>
    </row>
    <row r="307" spans="2:3" x14ac:dyDescent="0.2">
      <c r="B307"/>
      <c r="C307"/>
    </row>
    <row r="308" spans="2:3" x14ac:dyDescent="0.2">
      <c r="B308"/>
      <c r="C308"/>
    </row>
    <row r="309" spans="2:3" x14ac:dyDescent="0.2">
      <c r="B309"/>
      <c r="C309"/>
    </row>
    <row r="310" spans="2:3" x14ac:dyDescent="0.2">
      <c r="B310"/>
      <c r="C310"/>
    </row>
    <row r="311" spans="2:3" x14ac:dyDescent="0.2">
      <c r="B311"/>
      <c r="C311"/>
    </row>
    <row r="312" spans="2:3" x14ac:dyDescent="0.2">
      <c r="B312"/>
      <c r="C312"/>
    </row>
    <row r="313" spans="2:3" x14ac:dyDescent="0.2">
      <c r="B313"/>
      <c r="C313"/>
    </row>
    <row r="314" spans="2:3" x14ac:dyDescent="0.2">
      <c r="B314"/>
      <c r="C314"/>
    </row>
    <row r="315" spans="2:3" x14ac:dyDescent="0.2">
      <c r="B315"/>
      <c r="C315"/>
    </row>
    <row r="316" spans="2:3" x14ac:dyDescent="0.2">
      <c r="B316"/>
      <c r="C316"/>
    </row>
    <row r="317" spans="2:3" x14ac:dyDescent="0.2">
      <c r="B317"/>
      <c r="C317"/>
    </row>
    <row r="318" spans="2:3" x14ac:dyDescent="0.2">
      <c r="B318"/>
      <c r="C318"/>
    </row>
    <row r="319" spans="2:3" x14ac:dyDescent="0.2">
      <c r="B319"/>
      <c r="C319"/>
    </row>
    <row r="320" spans="2:3" x14ac:dyDescent="0.2">
      <c r="B320"/>
      <c r="C320"/>
    </row>
    <row r="321" spans="2:3" x14ac:dyDescent="0.2">
      <c r="B321"/>
      <c r="C321"/>
    </row>
    <row r="322" spans="2:3" x14ac:dyDescent="0.2">
      <c r="B322"/>
      <c r="C322"/>
    </row>
    <row r="323" spans="2:3" x14ac:dyDescent="0.2">
      <c r="B323"/>
      <c r="C323"/>
    </row>
    <row r="324" spans="2:3" x14ac:dyDescent="0.2">
      <c r="B324"/>
      <c r="C324"/>
    </row>
    <row r="325" spans="2:3" x14ac:dyDescent="0.2">
      <c r="B325"/>
      <c r="C325"/>
    </row>
    <row r="326" spans="2:3" x14ac:dyDescent="0.2">
      <c r="B326"/>
      <c r="C326"/>
    </row>
    <row r="327" spans="2:3" x14ac:dyDescent="0.2">
      <c r="B327"/>
      <c r="C327"/>
    </row>
    <row r="328" spans="2:3" x14ac:dyDescent="0.2">
      <c r="B328"/>
      <c r="C328"/>
    </row>
    <row r="329" spans="2:3" x14ac:dyDescent="0.2">
      <c r="B329"/>
      <c r="C329"/>
    </row>
    <row r="330" spans="2:3" x14ac:dyDescent="0.2">
      <c r="B330"/>
      <c r="C330"/>
    </row>
    <row r="331" spans="2:3" x14ac:dyDescent="0.2">
      <c r="B331"/>
      <c r="C331"/>
    </row>
    <row r="332" spans="2:3" x14ac:dyDescent="0.2">
      <c r="B332"/>
      <c r="C332"/>
    </row>
    <row r="333" spans="2:3" x14ac:dyDescent="0.2">
      <c r="B333"/>
      <c r="C333"/>
    </row>
    <row r="334" spans="2:3" x14ac:dyDescent="0.2">
      <c r="B334"/>
      <c r="C334"/>
    </row>
    <row r="335" spans="2:3" x14ac:dyDescent="0.2">
      <c r="B335"/>
      <c r="C335"/>
    </row>
    <row r="336" spans="2:3" x14ac:dyDescent="0.2">
      <c r="B336"/>
      <c r="C336"/>
    </row>
    <row r="337" spans="2:3" x14ac:dyDescent="0.2">
      <c r="B337"/>
      <c r="C337"/>
    </row>
    <row r="338" spans="2:3" x14ac:dyDescent="0.2">
      <c r="B338"/>
      <c r="C338"/>
    </row>
    <row r="339" spans="2:3" x14ac:dyDescent="0.2">
      <c r="B339"/>
      <c r="C339"/>
    </row>
    <row r="340" spans="2:3" x14ac:dyDescent="0.2">
      <c r="B340"/>
      <c r="C340"/>
    </row>
    <row r="341" spans="2:3" x14ac:dyDescent="0.2">
      <c r="B341"/>
      <c r="C341"/>
    </row>
    <row r="342" spans="2:3" x14ac:dyDescent="0.2">
      <c r="B342"/>
      <c r="C342"/>
    </row>
    <row r="343" spans="2:3" x14ac:dyDescent="0.2">
      <c r="B343"/>
      <c r="C343"/>
    </row>
    <row r="344" spans="2:3" x14ac:dyDescent="0.2">
      <c r="B344"/>
      <c r="C344"/>
    </row>
    <row r="345" spans="2:3" x14ac:dyDescent="0.2">
      <c r="B345"/>
      <c r="C345"/>
    </row>
    <row r="346" spans="2:3" x14ac:dyDescent="0.2">
      <c r="B346"/>
      <c r="C346"/>
    </row>
    <row r="347" spans="2:3" x14ac:dyDescent="0.2">
      <c r="B347"/>
      <c r="C347"/>
    </row>
    <row r="348" spans="2:3" x14ac:dyDescent="0.2">
      <c r="B348"/>
      <c r="C348"/>
    </row>
    <row r="349" spans="2:3" x14ac:dyDescent="0.2">
      <c r="B349"/>
      <c r="C349"/>
    </row>
    <row r="350" spans="2:3" x14ac:dyDescent="0.2">
      <c r="B350"/>
      <c r="C350"/>
    </row>
    <row r="351" spans="2:3" x14ac:dyDescent="0.2">
      <c r="B351"/>
      <c r="C351"/>
    </row>
    <row r="352" spans="2:3" x14ac:dyDescent="0.2">
      <c r="B352"/>
      <c r="C352"/>
    </row>
    <row r="353" spans="2:3" x14ac:dyDescent="0.2">
      <c r="B353"/>
      <c r="C353"/>
    </row>
    <row r="354" spans="2:3" x14ac:dyDescent="0.2">
      <c r="B354"/>
      <c r="C354"/>
    </row>
    <row r="355" spans="2:3" x14ac:dyDescent="0.2">
      <c r="B355"/>
      <c r="C355"/>
    </row>
    <row r="356" spans="2:3" x14ac:dyDescent="0.2">
      <c r="B356"/>
      <c r="C356"/>
    </row>
    <row r="357" spans="2:3" x14ac:dyDescent="0.2">
      <c r="B357"/>
      <c r="C357"/>
    </row>
    <row r="358" spans="2:3" x14ac:dyDescent="0.2">
      <c r="B358"/>
      <c r="C358"/>
    </row>
    <row r="359" spans="2:3" x14ac:dyDescent="0.2">
      <c r="B359"/>
      <c r="C359"/>
    </row>
    <row r="360" spans="2:3" x14ac:dyDescent="0.2">
      <c r="B360"/>
      <c r="C360"/>
    </row>
    <row r="361" spans="2:3" x14ac:dyDescent="0.2">
      <c r="B361"/>
      <c r="C361"/>
    </row>
    <row r="362" spans="2:3" x14ac:dyDescent="0.2">
      <c r="B362"/>
      <c r="C362"/>
    </row>
    <row r="363" spans="2:3" x14ac:dyDescent="0.2">
      <c r="B363"/>
      <c r="C363"/>
    </row>
    <row r="364" spans="2:3" x14ac:dyDescent="0.2">
      <c r="B364"/>
      <c r="C364"/>
    </row>
    <row r="365" spans="2:3" x14ac:dyDescent="0.2">
      <c r="B365"/>
      <c r="C365"/>
    </row>
    <row r="366" spans="2:3" x14ac:dyDescent="0.2">
      <c r="B366"/>
      <c r="C366"/>
    </row>
    <row r="367" spans="2:3" x14ac:dyDescent="0.2">
      <c r="B367"/>
      <c r="C367"/>
    </row>
    <row r="368" spans="2:3" x14ac:dyDescent="0.2">
      <c r="B368"/>
      <c r="C368"/>
    </row>
    <row r="369" spans="2:3" x14ac:dyDescent="0.2">
      <c r="B369"/>
      <c r="C369"/>
    </row>
    <row r="370" spans="2:3" x14ac:dyDescent="0.2">
      <c r="B370"/>
      <c r="C370"/>
    </row>
    <row r="371" spans="2:3" x14ac:dyDescent="0.2">
      <c r="B371"/>
      <c r="C371"/>
    </row>
    <row r="372" spans="2:3" x14ac:dyDescent="0.2">
      <c r="B372"/>
      <c r="C372"/>
    </row>
    <row r="373" spans="2:3" x14ac:dyDescent="0.2">
      <c r="B373"/>
      <c r="C373"/>
    </row>
    <row r="374" spans="2:3" x14ac:dyDescent="0.2">
      <c r="B374"/>
      <c r="C374"/>
    </row>
    <row r="375" spans="2:3" x14ac:dyDescent="0.2">
      <c r="B375"/>
      <c r="C375"/>
    </row>
    <row r="376" spans="2:3" x14ac:dyDescent="0.2">
      <c r="B376"/>
      <c r="C376"/>
    </row>
    <row r="377" spans="2:3" x14ac:dyDescent="0.2">
      <c r="B377"/>
      <c r="C377"/>
    </row>
    <row r="378" spans="2:3" x14ac:dyDescent="0.2">
      <c r="B378"/>
      <c r="C378"/>
    </row>
    <row r="379" spans="2:3" x14ac:dyDescent="0.2">
      <c r="B379"/>
      <c r="C379"/>
    </row>
    <row r="380" spans="2:3" x14ac:dyDescent="0.2">
      <c r="B380"/>
      <c r="C380"/>
    </row>
    <row r="381" spans="2:3" x14ac:dyDescent="0.2">
      <c r="B381"/>
      <c r="C381"/>
    </row>
    <row r="382" spans="2:3" x14ac:dyDescent="0.2">
      <c r="B382"/>
      <c r="C382"/>
    </row>
    <row r="383" spans="2:3" x14ac:dyDescent="0.2">
      <c r="B383"/>
      <c r="C383"/>
    </row>
    <row r="384" spans="2:3" x14ac:dyDescent="0.2">
      <c r="B384"/>
      <c r="C384"/>
    </row>
    <row r="385" spans="2:3" x14ac:dyDescent="0.2">
      <c r="B385"/>
      <c r="C385"/>
    </row>
    <row r="386" spans="2:3" x14ac:dyDescent="0.2">
      <c r="B386"/>
      <c r="C386"/>
    </row>
    <row r="387" spans="2:3" x14ac:dyDescent="0.2">
      <c r="B387"/>
      <c r="C387"/>
    </row>
    <row r="388" spans="2:3" x14ac:dyDescent="0.2">
      <c r="B388"/>
      <c r="C388"/>
    </row>
    <row r="389" spans="2:3" x14ac:dyDescent="0.2">
      <c r="B389"/>
      <c r="C389"/>
    </row>
    <row r="390" spans="2:3" x14ac:dyDescent="0.2">
      <c r="B390"/>
      <c r="C390"/>
    </row>
    <row r="391" spans="2:3" x14ac:dyDescent="0.2">
      <c r="B391"/>
      <c r="C391"/>
    </row>
    <row r="392" spans="2:3" x14ac:dyDescent="0.2">
      <c r="B392"/>
      <c r="C392"/>
    </row>
    <row r="393" spans="2:3" x14ac:dyDescent="0.2">
      <c r="B393"/>
      <c r="C393"/>
    </row>
    <row r="394" spans="2:3" x14ac:dyDescent="0.2">
      <c r="B394"/>
      <c r="C394"/>
    </row>
    <row r="395" spans="2:3" x14ac:dyDescent="0.2">
      <c r="B395"/>
      <c r="C395"/>
    </row>
    <row r="396" spans="2:3" x14ac:dyDescent="0.2">
      <c r="B396"/>
      <c r="C396"/>
    </row>
    <row r="397" spans="2:3" x14ac:dyDescent="0.2">
      <c r="B397"/>
      <c r="C397"/>
    </row>
    <row r="398" spans="2:3" x14ac:dyDescent="0.2">
      <c r="B398"/>
      <c r="C398"/>
    </row>
    <row r="399" spans="2:3" x14ac:dyDescent="0.2">
      <c r="B399"/>
      <c r="C399"/>
    </row>
    <row r="400" spans="2:3" x14ac:dyDescent="0.2">
      <c r="B400"/>
      <c r="C400"/>
    </row>
    <row r="401" spans="2:3" x14ac:dyDescent="0.2">
      <c r="B401"/>
      <c r="C401"/>
    </row>
    <row r="402" spans="2:3" x14ac:dyDescent="0.2">
      <c r="B402"/>
      <c r="C402"/>
    </row>
    <row r="403" spans="2:3" x14ac:dyDescent="0.2">
      <c r="B403"/>
      <c r="C403"/>
    </row>
    <row r="404" spans="2:3" x14ac:dyDescent="0.2">
      <c r="B404"/>
      <c r="C404"/>
    </row>
    <row r="405" spans="2:3" x14ac:dyDescent="0.2">
      <c r="B405"/>
      <c r="C405"/>
    </row>
    <row r="406" spans="2:3" x14ac:dyDescent="0.2">
      <c r="B406"/>
      <c r="C406"/>
    </row>
    <row r="407" spans="2:3" x14ac:dyDescent="0.2">
      <c r="B407"/>
      <c r="C407"/>
    </row>
    <row r="408" spans="2:3" x14ac:dyDescent="0.2">
      <c r="B408"/>
      <c r="C408"/>
    </row>
    <row r="409" spans="2:3" x14ac:dyDescent="0.2">
      <c r="B409"/>
      <c r="C409"/>
    </row>
    <row r="410" spans="2:3" x14ac:dyDescent="0.2">
      <c r="B410"/>
      <c r="C410"/>
    </row>
    <row r="411" spans="2:3" x14ac:dyDescent="0.2">
      <c r="B411"/>
      <c r="C411"/>
    </row>
    <row r="412" spans="2:3" x14ac:dyDescent="0.2">
      <c r="B412"/>
      <c r="C412"/>
    </row>
    <row r="413" spans="2:3" x14ac:dyDescent="0.2">
      <c r="B413"/>
      <c r="C413"/>
    </row>
    <row r="414" spans="2:3" x14ac:dyDescent="0.2">
      <c r="B414"/>
      <c r="C414"/>
    </row>
    <row r="415" spans="2:3" x14ac:dyDescent="0.2">
      <c r="B415"/>
      <c r="C415"/>
    </row>
    <row r="416" spans="2:3" x14ac:dyDescent="0.2">
      <c r="B416"/>
      <c r="C416"/>
    </row>
    <row r="417" spans="2:3" x14ac:dyDescent="0.2">
      <c r="B417"/>
      <c r="C417"/>
    </row>
    <row r="418" spans="2:3" x14ac:dyDescent="0.2">
      <c r="B418"/>
      <c r="C418"/>
    </row>
    <row r="419" spans="2:3" x14ac:dyDescent="0.2">
      <c r="B419"/>
      <c r="C419"/>
    </row>
    <row r="420" spans="2:3" x14ac:dyDescent="0.2">
      <c r="B420"/>
      <c r="C420"/>
    </row>
    <row r="421" spans="2:3" x14ac:dyDescent="0.2">
      <c r="B421"/>
      <c r="C421"/>
    </row>
    <row r="422" spans="2:3" x14ac:dyDescent="0.2">
      <c r="B422"/>
      <c r="C422"/>
    </row>
    <row r="423" spans="2:3" x14ac:dyDescent="0.2">
      <c r="B423"/>
      <c r="C423"/>
    </row>
    <row r="424" spans="2:3" x14ac:dyDescent="0.2">
      <c r="B424"/>
      <c r="C424"/>
    </row>
    <row r="425" spans="2:3" x14ac:dyDescent="0.2">
      <c r="B425"/>
      <c r="C425"/>
    </row>
    <row r="426" spans="2:3" x14ac:dyDescent="0.2">
      <c r="B426"/>
      <c r="C426"/>
    </row>
    <row r="427" spans="2:3" x14ac:dyDescent="0.2">
      <c r="B427"/>
      <c r="C427"/>
    </row>
    <row r="428" spans="2:3" x14ac:dyDescent="0.2">
      <c r="B428"/>
      <c r="C428"/>
    </row>
    <row r="429" spans="2:3" x14ac:dyDescent="0.2">
      <c r="B429"/>
      <c r="C429"/>
    </row>
    <row r="430" spans="2:3" x14ac:dyDescent="0.2">
      <c r="B430"/>
      <c r="C430"/>
    </row>
    <row r="431" spans="2:3" x14ac:dyDescent="0.2">
      <c r="B431"/>
      <c r="C431"/>
    </row>
    <row r="432" spans="2:3" x14ac:dyDescent="0.2">
      <c r="B432"/>
      <c r="C432"/>
    </row>
    <row r="433" spans="2:3" x14ac:dyDescent="0.2">
      <c r="B433"/>
      <c r="C433"/>
    </row>
    <row r="434" spans="2:3" x14ac:dyDescent="0.2">
      <c r="B434"/>
      <c r="C434"/>
    </row>
    <row r="435" spans="2:3" x14ac:dyDescent="0.2">
      <c r="B435"/>
      <c r="C435"/>
    </row>
    <row r="436" spans="2:3" x14ac:dyDescent="0.2">
      <c r="B436"/>
      <c r="C436"/>
    </row>
    <row r="437" spans="2:3" x14ac:dyDescent="0.2">
      <c r="B437"/>
      <c r="C437"/>
    </row>
    <row r="438" spans="2:3" x14ac:dyDescent="0.2">
      <c r="B438"/>
      <c r="C438"/>
    </row>
    <row r="439" spans="2:3" x14ac:dyDescent="0.2">
      <c r="B439"/>
      <c r="C439"/>
    </row>
    <row r="440" spans="2:3" x14ac:dyDescent="0.2">
      <c r="B440"/>
      <c r="C440"/>
    </row>
    <row r="441" spans="2:3" x14ac:dyDescent="0.2">
      <c r="B441"/>
      <c r="C441"/>
    </row>
    <row r="442" spans="2:3" x14ac:dyDescent="0.2">
      <c r="B442"/>
      <c r="C442"/>
    </row>
    <row r="443" spans="2:3" x14ac:dyDescent="0.2">
      <c r="B443"/>
      <c r="C443"/>
    </row>
    <row r="444" spans="2:3" x14ac:dyDescent="0.2">
      <c r="B444"/>
      <c r="C444"/>
    </row>
    <row r="445" spans="2:3" x14ac:dyDescent="0.2">
      <c r="B445"/>
      <c r="C445"/>
    </row>
    <row r="446" spans="2:3" x14ac:dyDescent="0.2">
      <c r="B446"/>
      <c r="C446"/>
    </row>
    <row r="447" spans="2:3" x14ac:dyDescent="0.2">
      <c r="B447"/>
      <c r="C447"/>
    </row>
    <row r="448" spans="2:3" x14ac:dyDescent="0.2">
      <c r="B448"/>
      <c r="C448"/>
    </row>
    <row r="449" spans="2:3" x14ac:dyDescent="0.2">
      <c r="B449"/>
      <c r="C449"/>
    </row>
    <row r="450" spans="2:3" x14ac:dyDescent="0.2">
      <c r="B450"/>
      <c r="C450"/>
    </row>
    <row r="451" spans="2:3" x14ac:dyDescent="0.2">
      <c r="B451"/>
      <c r="C451"/>
    </row>
    <row r="452" spans="2:3" x14ac:dyDescent="0.2">
      <c r="B452"/>
      <c r="C452"/>
    </row>
    <row r="453" spans="2:3" x14ac:dyDescent="0.2">
      <c r="B453"/>
      <c r="C453"/>
    </row>
    <row r="454" spans="2:3" x14ac:dyDescent="0.2">
      <c r="B454"/>
      <c r="C454"/>
    </row>
    <row r="455" spans="2:3" x14ac:dyDescent="0.2">
      <c r="B455"/>
      <c r="C455"/>
    </row>
    <row r="456" spans="2:3" x14ac:dyDescent="0.2">
      <c r="B456"/>
      <c r="C456"/>
    </row>
    <row r="457" spans="2:3" x14ac:dyDescent="0.2">
      <c r="B457"/>
      <c r="C457"/>
    </row>
    <row r="458" spans="2:3" x14ac:dyDescent="0.2">
      <c r="B458"/>
      <c r="C458"/>
    </row>
    <row r="459" spans="2:3" x14ac:dyDescent="0.2">
      <c r="B459"/>
      <c r="C459"/>
    </row>
    <row r="460" spans="2:3" x14ac:dyDescent="0.2">
      <c r="B460"/>
      <c r="C460"/>
    </row>
    <row r="461" spans="2:3" x14ac:dyDescent="0.2">
      <c r="B461"/>
      <c r="C461"/>
    </row>
    <row r="462" spans="2:3" x14ac:dyDescent="0.2">
      <c r="B462"/>
      <c r="C462"/>
    </row>
    <row r="463" spans="2:3" x14ac:dyDescent="0.2">
      <c r="B463"/>
      <c r="C463"/>
    </row>
    <row r="464" spans="2:3" x14ac:dyDescent="0.2">
      <c r="B464"/>
      <c r="C464"/>
    </row>
    <row r="465" spans="2:3" x14ac:dyDescent="0.2">
      <c r="B465"/>
      <c r="C465"/>
    </row>
    <row r="466" spans="2:3" x14ac:dyDescent="0.2">
      <c r="B466"/>
      <c r="C466"/>
    </row>
    <row r="467" spans="2:3" x14ac:dyDescent="0.2">
      <c r="B467"/>
      <c r="C467"/>
    </row>
    <row r="468" spans="2:3" x14ac:dyDescent="0.2">
      <c r="B468"/>
      <c r="C468"/>
    </row>
    <row r="469" spans="2:3" x14ac:dyDescent="0.2">
      <c r="B469"/>
      <c r="C469"/>
    </row>
    <row r="470" spans="2:3" x14ac:dyDescent="0.2">
      <c r="B470"/>
      <c r="C470"/>
    </row>
    <row r="471" spans="2:3" x14ac:dyDescent="0.2">
      <c r="B471"/>
      <c r="C471"/>
    </row>
    <row r="472" spans="2:3" x14ac:dyDescent="0.2">
      <c r="B472"/>
      <c r="C472"/>
    </row>
    <row r="473" spans="2:3" x14ac:dyDescent="0.2">
      <c r="B473"/>
      <c r="C473"/>
    </row>
    <row r="474" spans="2:3" x14ac:dyDescent="0.2">
      <c r="B474"/>
      <c r="C474"/>
    </row>
    <row r="475" spans="2:3" x14ac:dyDescent="0.2">
      <c r="B475"/>
      <c r="C475"/>
    </row>
    <row r="476" spans="2:3" x14ac:dyDescent="0.2">
      <c r="B476"/>
      <c r="C476"/>
    </row>
    <row r="477" spans="2:3" x14ac:dyDescent="0.2">
      <c r="B477"/>
      <c r="C477"/>
    </row>
    <row r="478" spans="2:3" x14ac:dyDescent="0.2">
      <c r="B478"/>
      <c r="C478"/>
    </row>
    <row r="479" spans="2:3" x14ac:dyDescent="0.2">
      <c r="B479"/>
      <c r="C479"/>
    </row>
    <row r="480" spans="2:3" x14ac:dyDescent="0.2">
      <c r="B480"/>
      <c r="C480"/>
    </row>
    <row r="481" spans="2:3" x14ac:dyDescent="0.2">
      <c r="B481"/>
      <c r="C481"/>
    </row>
    <row r="482" spans="2:3" x14ac:dyDescent="0.2">
      <c r="B482"/>
      <c r="C482"/>
    </row>
    <row r="483" spans="2:3" x14ac:dyDescent="0.2">
      <c r="B483"/>
      <c r="C483"/>
    </row>
    <row r="484" spans="2:3" x14ac:dyDescent="0.2">
      <c r="B484"/>
      <c r="C484"/>
    </row>
    <row r="485" spans="2:3" x14ac:dyDescent="0.2">
      <c r="B485"/>
      <c r="C485"/>
    </row>
    <row r="486" spans="2:3" x14ac:dyDescent="0.2">
      <c r="B486"/>
      <c r="C486"/>
    </row>
    <row r="487" spans="2:3" x14ac:dyDescent="0.2">
      <c r="B487"/>
      <c r="C487"/>
    </row>
    <row r="488" spans="2:3" x14ac:dyDescent="0.2">
      <c r="B488"/>
      <c r="C488"/>
    </row>
    <row r="489" spans="2:3" x14ac:dyDescent="0.2">
      <c r="B489"/>
      <c r="C489"/>
    </row>
    <row r="490" spans="2:3" x14ac:dyDescent="0.2">
      <c r="B490"/>
      <c r="C490"/>
    </row>
    <row r="491" spans="2:3" x14ac:dyDescent="0.2">
      <c r="B491"/>
      <c r="C491"/>
    </row>
    <row r="492" spans="2:3" x14ac:dyDescent="0.2">
      <c r="B492"/>
      <c r="C492"/>
    </row>
    <row r="493" spans="2:3" x14ac:dyDescent="0.2">
      <c r="B493"/>
      <c r="C493"/>
    </row>
    <row r="494" spans="2:3" x14ac:dyDescent="0.2">
      <c r="B494"/>
      <c r="C494"/>
    </row>
    <row r="495" spans="2:3" x14ac:dyDescent="0.2">
      <c r="B495"/>
      <c r="C495"/>
    </row>
    <row r="496" spans="2:3" x14ac:dyDescent="0.2">
      <c r="B496"/>
      <c r="C496"/>
    </row>
    <row r="497" spans="2:3" x14ac:dyDescent="0.2">
      <c r="B497"/>
      <c r="C497"/>
    </row>
    <row r="498" spans="2:3" x14ac:dyDescent="0.2">
      <c r="B498"/>
      <c r="C498"/>
    </row>
    <row r="499" spans="2:3" x14ac:dyDescent="0.2">
      <c r="B499"/>
      <c r="C499"/>
    </row>
    <row r="500" spans="2:3" x14ac:dyDescent="0.2">
      <c r="B500"/>
      <c r="C500"/>
    </row>
    <row r="501" spans="2:3" x14ac:dyDescent="0.2">
      <c r="B501"/>
      <c r="C501"/>
    </row>
    <row r="502" spans="2:3" x14ac:dyDescent="0.2">
      <c r="B502"/>
      <c r="C502"/>
    </row>
    <row r="503" spans="2:3" x14ac:dyDescent="0.2">
      <c r="B503"/>
      <c r="C503"/>
    </row>
    <row r="504" spans="2:3" x14ac:dyDescent="0.2">
      <c r="B504"/>
      <c r="C504"/>
    </row>
    <row r="505" spans="2:3" x14ac:dyDescent="0.2">
      <c r="B505"/>
      <c r="C505"/>
    </row>
    <row r="506" spans="2:3" x14ac:dyDescent="0.2">
      <c r="B506"/>
      <c r="C506"/>
    </row>
    <row r="507" spans="2:3" x14ac:dyDescent="0.2">
      <c r="B507"/>
      <c r="C507"/>
    </row>
    <row r="508" spans="2:3" x14ac:dyDescent="0.2">
      <c r="B508"/>
      <c r="C508"/>
    </row>
    <row r="509" spans="2:3" x14ac:dyDescent="0.2">
      <c r="B509"/>
      <c r="C509"/>
    </row>
    <row r="510" spans="2:3" x14ac:dyDescent="0.2">
      <c r="B510"/>
      <c r="C510"/>
    </row>
    <row r="511" spans="2:3" x14ac:dyDescent="0.2">
      <c r="B511"/>
      <c r="C511"/>
    </row>
    <row r="512" spans="2:3" x14ac:dyDescent="0.2">
      <c r="B512"/>
      <c r="C512"/>
    </row>
    <row r="513" spans="2:3" x14ac:dyDescent="0.2">
      <c r="B513"/>
      <c r="C513"/>
    </row>
    <row r="514" spans="2:3" x14ac:dyDescent="0.2">
      <c r="B514"/>
      <c r="C514"/>
    </row>
    <row r="515" spans="2:3" x14ac:dyDescent="0.2">
      <c r="B515"/>
      <c r="C515"/>
    </row>
    <row r="516" spans="2:3" x14ac:dyDescent="0.2">
      <c r="B516"/>
      <c r="C516"/>
    </row>
    <row r="517" spans="2:3" x14ac:dyDescent="0.2">
      <c r="B517"/>
      <c r="C517"/>
    </row>
    <row r="518" spans="2:3" x14ac:dyDescent="0.2">
      <c r="B518"/>
      <c r="C518"/>
    </row>
    <row r="519" spans="2:3" x14ac:dyDescent="0.2">
      <c r="B519"/>
      <c r="C519"/>
    </row>
    <row r="520" spans="2:3" x14ac:dyDescent="0.2">
      <c r="B520"/>
      <c r="C520"/>
    </row>
    <row r="521" spans="2:3" x14ac:dyDescent="0.2">
      <c r="B521"/>
      <c r="C521"/>
    </row>
    <row r="522" spans="2:3" x14ac:dyDescent="0.2">
      <c r="B522"/>
      <c r="C522"/>
    </row>
    <row r="523" spans="2:3" x14ac:dyDescent="0.2">
      <c r="B523"/>
      <c r="C523"/>
    </row>
    <row r="524" spans="2:3" x14ac:dyDescent="0.2">
      <c r="B524"/>
      <c r="C524"/>
    </row>
    <row r="525" spans="2:3" x14ac:dyDescent="0.2">
      <c r="B525"/>
      <c r="C525"/>
    </row>
    <row r="526" spans="2:3" x14ac:dyDescent="0.2">
      <c r="B526"/>
      <c r="C526"/>
    </row>
    <row r="527" spans="2:3" x14ac:dyDescent="0.2">
      <c r="B527"/>
      <c r="C527"/>
    </row>
    <row r="528" spans="2:3" x14ac:dyDescent="0.2">
      <c r="B528"/>
      <c r="C528"/>
    </row>
    <row r="529" spans="2:3" x14ac:dyDescent="0.2">
      <c r="B529"/>
      <c r="C529"/>
    </row>
    <row r="530" spans="2:3" x14ac:dyDescent="0.2">
      <c r="B530"/>
      <c r="C530"/>
    </row>
    <row r="531" spans="2:3" x14ac:dyDescent="0.2">
      <c r="B531"/>
      <c r="C531"/>
    </row>
    <row r="532" spans="2:3" x14ac:dyDescent="0.2">
      <c r="B532"/>
      <c r="C532"/>
    </row>
    <row r="533" spans="2:3" x14ac:dyDescent="0.2">
      <c r="B533"/>
      <c r="C533"/>
    </row>
    <row r="534" spans="2:3" x14ac:dyDescent="0.2">
      <c r="B534"/>
      <c r="C534"/>
    </row>
    <row r="535" spans="2:3" x14ac:dyDescent="0.2">
      <c r="B535"/>
      <c r="C535"/>
    </row>
    <row r="536" spans="2:3" x14ac:dyDescent="0.2">
      <c r="B536"/>
      <c r="C536"/>
    </row>
    <row r="537" spans="2:3" x14ac:dyDescent="0.2">
      <c r="B537"/>
      <c r="C537"/>
    </row>
    <row r="538" spans="2:3" x14ac:dyDescent="0.2">
      <c r="B538"/>
      <c r="C538"/>
    </row>
    <row r="539" spans="2:3" x14ac:dyDescent="0.2">
      <c r="B539"/>
      <c r="C539"/>
    </row>
    <row r="540" spans="2:3" x14ac:dyDescent="0.2">
      <c r="B540"/>
      <c r="C540"/>
    </row>
    <row r="541" spans="2:3" x14ac:dyDescent="0.2">
      <c r="B541"/>
      <c r="C541"/>
    </row>
    <row r="542" spans="2:3" x14ac:dyDescent="0.2">
      <c r="B542"/>
      <c r="C542"/>
    </row>
    <row r="543" spans="2:3" x14ac:dyDescent="0.2">
      <c r="B543"/>
      <c r="C543"/>
    </row>
    <row r="544" spans="2:3" x14ac:dyDescent="0.2">
      <c r="B544"/>
      <c r="C544"/>
    </row>
    <row r="545" spans="2:3" x14ac:dyDescent="0.2">
      <c r="B545"/>
      <c r="C545"/>
    </row>
    <row r="546" spans="2:3" x14ac:dyDescent="0.2">
      <c r="B546"/>
      <c r="C546"/>
    </row>
    <row r="547" spans="2:3" x14ac:dyDescent="0.2">
      <c r="B547"/>
      <c r="C547"/>
    </row>
    <row r="548" spans="2:3" x14ac:dyDescent="0.2">
      <c r="B548"/>
      <c r="C548"/>
    </row>
    <row r="549" spans="2:3" x14ac:dyDescent="0.2">
      <c r="B549"/>
      <c r="C549"/>
    </row>
    <row r="550" spans="2:3" x14ac:dyDescent="0.2">
      <c r="B550"/>
      <c r="C550"/>
    </row>
    <row r="551" spans="2:3" x14ac:dyDescent="0.2">
      <c r="B551"/>
      <c r="C551"/>
    </row>
    <row r="552" spans="2:3" x14ac:dyDescent="0.2">
      <c r="B552"/>
      <c r="C552"/>
    </row>
    <row r="553" spans="2:3" x14ac:dyDescent="0.2">
      <c r="B553"/>
      <c r="C553"/>
    </row>
    <row r="554" spans="2:3" x14ac:dyDescent="0.2">
      <c r="B554"/>
      <c r="C554"/>
    </row>
    <row r="555" spans="2:3" x14ac:dyDescent="0.2">
      <c r="B555"/>
      <c r="C555"/>
    </row>
    <row r="556" spans="2:3" x14ac:dyDescent="0.2">
      <c r="B556"/>
      <c r="C556"/>
    </row>
    <row r="557" spans="2:3" x14ac:dyDescent="0.2">
      <c r="B557"/>
      <c r="C557"/>
    </row>
    <row r="558" spans="2:3" x14ac:dyDescent="0.2">
      <c r="B558"/>
      <c r="C558"/>
    </row>
    <row r="559" spans="2:3" x14ac:dyDescent="0.2">
      <c r="B559"/>
      <c r="C559"/>
    </row>
    <row r="560" spans="2:3" x14ac:dyDescent="0.2">
      <c r="B560"/>
      <c r="C560"/>
    </row>
    <row r="561" spans="2:3" x14ac:dyDescent="0.2">
      <c r="B561"/>
      <c r="C561"/>
    </row>
    <row r="562" spans="2:3" x14ac:dyDescent="0.2">
      <c r="B562"/>
      <c r="C562"/>
    </row>
    <row r="563" spans="2:3" x14ac:dyDescent="0.2">
      <c r="B563"/>
      <c r="C563"/>
    </row>
    <row r="564" spans="2:3" x14ac:dyDescent="0.2">
      <c r="B564"/>
      <c r="C564"/>
    </row>
    <row r="565" spans="2:3" x14ac:dyDescent="0.2">
      <c r="B565"/>
      <c r="C565"/>
    </row>
    <row r="566" spans="2:3" x14ac:dyDescent="0.2">
      <c r="B566"/>
      <c r="C566"/>
    </row>
    <row r="567" spans="2:3" x14ac:dyDescent="0.2">
      <c r="B567"/>
      <c r="C567"/>
    </row>
    <row r="568" spans="2:3" x14ac:dyDescent="0.2">
      <c r="B568"/>
      <c r="C568"/>
    </row>
    <row r="569" spans="2:3" x14ac:dyDescent="0.2">
      <c r="B569"/>
      <c r="C569"/>
    </row>
    <row r="570" spans="2:3" x14ac:dyDescent="0.2">
      <c r="B570"/>
      <c r="C570"/>
    </row>
    <row r="571" spans="2:3" x14ac:dyDescent="0.2">
      <c r="B571"/>
      <c r="C571"/>
    </row>
    <row r="572" spans="2:3" x14ac:dyDescent="0.2">
      <c r="B572"/>
      <c r="C572"/>
    </row>
    <row r="573" spans="2:3" x14ac:dyDescent="0.2">
      <c r="B573"/>
      <c r="C573"/>
    </row>
    <row r="574" spans="2:3" x14ac:dyDescent="0.2">
      <c r="B574"/>
      <c r="C574"/>
    </row>
    <row r="575" spans="2:3" x14ac:dyDescent="0.2">
      <c r="B575"/>
      <c r="C575"/>
    </row>
    <row r="576" spans="2:3" x14ac:dyDescent="0.2">
      <c r="B576"/>
      <c r="C576"/>
    </row>
    <row r="577" spans="2:3" x14ac:dyDescent="0.2">
      <c r="B577"/>
      <c r="C577"/>
    </row>
    <row r="578" spans="2:3" x14ac:dyDescent="0.2">
      <c r="B578"/>
      <c r="C578"/>
    </row>
    <row r="579" spans="2:3" x14ac:dyDescent="0.2">
      <c r="B579"/>
      <c r="C579"/>
    </row>
    <row r="580" spans="2:3" x14ac:dyDescent="0.2">
      <c r="B580"/>
      <c r="C580"/>
    </row>
    <row r="581" spans="2:3" x14ac:dyDescent="0.2">
      <c r="B581"/>
      <c r="C581"/>
    </row>
    <row r="582" spans="2:3" x14ac:dyDescent="0.2">
      <c r="B582"/>
      <c r="C582"/>
    </row>
    <row r="583" spans="2:3" x14ac:dyDescent="0.2">
      <c r="B583"/>
      <c r="C583"/>
    </row>
    <row r="584" spans="2:3" x14ac:dyDescent="0.2">
      <c r="B584"/>
      <c r="C584"/>
    </row>
    <row r="585" spans="2:3" x14ac:dyDescent="0.2">
      <c r="B585"/>
      <c r="C585"/>
    </row>
    <row r="586" spans="2:3" x14ac:dyDescent="0.2">
      <c r="B586"/>
      <c r="C586"/>
    </row>
    <row r="587" spans="2:3" x14ac:dyDescent="0.2">
      <c r="B587"/>
      <c r="C587"/>
    </row>
    <row r="588" spans="2:3" x14ac:dyDescent="0.2">
      <c r="B588"/>
      <c r="C588"/>
    </row>
    <row r="589" spans="2:3" x14ac:dyDescent="0.2">
      <c r="B589"/>
      <c r="C589"/>
    </row>
    <row r="590" spans="2:3" x14ac:dyDescent="0.2">
      <c r="B590"/>
      <c r="C590"/>
    </row>
    <row r="591" spans="2:3" x14ac:dyDescent="0.2">
      <c r="B591"/>
      <c r="C591"/>
    </row>
    <row r="592" spans="2:3" x14ac:dyDescent="0.2">
      <c r="B592"/>
      <c r="C592"/>
    </row>
    <row r="593" spans="2:3" x14ac:dyDescent="0.2">
      <c r="B593"/>
      <c r="C593"/>
    </row>
    <row r="594" spans="2:3" x14ac:dyDescent="0.2">
      <c r="B594"/>
      <c r="C594"/>
    </row>
    <row r="595" spans="2:3" x14ac:dyDescent="0.2">
      <c r="B595"/>
      <c r="C595"/>
    </row>
    <row r="596" spans="2:3" x14ac:dyDescent="0.2">
      <c r="B596"/>
      <c r="C596"/>
    </row>
    <row r="597" spans="2:3" x14ac:dyDescent="0.2">
      <c r="B597"/>
      <c r="C597"/>
    </row>
    <row r="598" spans="2:3" x14ac:dyDescent="0.2">
      <c r="B598"/>
      <c r="C598"/>
    </row>
    <row r="599" spans="2:3" x14ac:dyDescent="0.2">
      <c r="B599"/>
      <c r="C599"/>
    </row>
    <row r="600" spans="2:3" x14ac:dyDescent="0.2">
      <c r="B600"/>
      <c r="C600"/>
    </row>
    <row r="601" spans="2:3" x14ac:dyDescent="0.2">
      <c r="B601"/>
      <c r="C601"/>
    </row>
    <row r="602" spans="2:3" x14ac:dyDescent="0.2">
      <c r="B602"/>
      <c r="C602"/>
    </row>
    <row r="603" spans="2:3" x14ac:dyDescent="0.2">
      <c r="B603"/>
      <c r="C603"/>
    </row>
    <row r="604" spans="2:3" x14ac:dyDescent="0.2">
      <c r="B604"/>
      <c r="C604"/>
    </row>
    <row r="605" spans="2:3" x14ac:dyDescent="0.2">
      <c r="B605"/>
      <c r="C605"/>
    </row>
    <row r="606" spans="2:3" x14ac:dyDescent="0.2">
      <c r="B606"/>
      <c r="C606"/>
    </row>
    <row r="607" spans="2:3" x14ac:dyDescent="0.2">
      <c r="B607"/>
      <c r="C607"/>
    </row>
    <row r="608" spans="2:3" x14ac:dyDescent="0.2">
      <c r="B608"/>
      <c r="C608"/>
    </row>
    <row r="609" spans="2:3" x14ac:dyDescent="0.2">
      <c r="B609"/>
      <c r="C609"/>
    </row>
    <row r="610" spans="2:3" x14ac:dyDescent="0.2">
      <c r="B610"/>
      <c r="C610"/>
    </row>
    <row r="611" spans="2:3" x14ac:dyDescent="0.2">
      <c r="B611"/>
      <c r="C611"/>
    </row>
    <row r="612" spans="2:3" x14ac:dyDescent="0.2">
      <c r="B612"/>
      <c r="C612"/>
    </row>
    <row r="613" spans="2:3" x14ac:dyDescent="0.2">
      <c r="B613"/>
      <c r="C613"/>
    </row>
    <row r="614" spans="2:3" x14ac:dyDescent="0.2">
      <c r="B614"/>
      <c r="C614"/>
    </row>
    <row r="615" spans="2:3" x14ac:dyDescent="0.2">
      <c r="B615"/>
      <c r="C615"/>
    </row>
    <row r="616" spans="2:3" x14ac:dyDescent="0.2">
      <c r="B616"/>
      <c r="C616"/>
    </row>
    <row r="617" spans="2:3" x14ac:dyDescent="0.2">
      <c r="B617"/>
      <c r="C617"/>
    </row>
    <row r="618" spans="2:3" x14ac:dyDescent="0.2">
      <c r="B618"/>
      <c r="C618"/>
    </row>
    <row r="619" spans="2:3" x14ac:dyDescent="0.2">
      <c r="B619"/>
      <c r="C619"/>
    </row>
    <row r="620" spans="2:3" x14ac:dyDescent="0.2">
      <c r="B620"/>
      <c r="C620"/>
    </row>
    <row r="621" spans="2:3" x14ac:dyDescent="0.2">
      <c r="B621"/>
      <c r="C621"/>
    </row>
    <row r="622" spans="2:3" x14ac:dyDescent="0.2">
      <c r="B622"/>
      <c r="C622"/>
    </row>
    <row r="623" spans="2:3" x14ac:dyDescent="0.2">
      <c r="B623"/>
      <c r="C623"/>
    </row>
    <row r="624" spans="2:3" x14ac:dyDescent="0.2">
      <c r="B624"/>
      <c r="C624"/>
    </row>
    <row r="625" spans="2:3" x14ac:dyDescent="0.2">
      <c r="B625"/>
      <c r="C625"/>
    </row>
    <row r="626" spans="2:3" x14ac:dyDescent="0.2">
      <c r="B626"/>
      <c r="C626"/>
    </row>
    <row r="627" spans="2:3" x14ac:dyDescent="0.2">
      <c r="B627"/>
      <c r="C627"/>
    </row>
    <row r="628" spans="2:3" x14ac:dyDescent="0.2">
      <c r="B628"/>
      <c r="C628"/>
    </row>
    <row r="629" spans="2:3" x14ac:dyDescent="0.2">
      <c r="B629"/>
      <c r="C629"/>
    </row>
    <row r="630" spans="2:3" x14ac:dyDescent="0.2">
      <c r="B630"/>
      <c r="C630"/>
    </row>
    <row r="631" spans="2:3" x14ac:dyDescent="0.2">
      <c r="B631"/>
      <c r="C631"/>
    </row>
    <row r="632" spans="2:3" x14ac:dyDescent="0.2">
      <c r="B632"/>
      <c r="C632"/>
    </row>
    <row r="633" spans="2:3" x14ac:dyDescent="0.2">
      <c r="B633"/>
      <c r="C633"/>
    </row>
    <row r="634" spans="2:3" x14ac:dyDescent="0.2">
      <c r="B634"/>
      <c r="C634"/>
    </row>
    <row r="635" spans="2:3" x14ac:dyDescent="0.2">
      <c r="B635"/>
      <c r="C635"/>
    </row>
    <row r="636" spans="2:3" x14ac:dyDescent="0.2">
      <c r="B636"/>
      <c r="C636"/>
    </row>
    <row r="637" spans="2:3" x14ac:dyDescent="0.2">
      <c r="B637"/>
      <c r="C637"/>
    </row>
    <row r="638" spans="2:3" x14ac:dyDescent="0.2">
      <c r="B638"/>
      <c r="C638"/>
    </row>
    <row r="639" spans="2:3" x14ac:dyDescent="0.2">
      <c r="B639"/>
      <c r="C639"/>
    </row>
    <row r="640" spans="2:3" x14ac:dyDescent="0.2">
      <c r="B640"/>
      <c r="C640"/>
    </row>
    <row r="641" spans="2:3" x14ac:dyDescent="0.2">
      <c r="B641"/>
      <c r="C641"/>
    </row>
    <row r="642" spans="2:3" x14ac:dyDescent="0.2">
      <c r="B642"/>
      <c r="C642"/>
    </row>
    <row r="643" spans="2:3" x14ac:dyDescent="0.2">
      <c r="B643"/>
      <c r="C643"/>
    </row>
    <row r="644" spans="2:3" x14ac:dyDescent="0.2">
      <c r="B644"/>
      <c r="C644"/>
    </row>
    <row r="645" spans="2:3" x14ac:dyDescent="0.2">
      <c r="B645"/>
      <c r="C645"/>
    </row>
    <row r="646" spans="2:3" x14ac:dyDescent="0.2">
      <c r="B646"/>
      <c r="C646"/>
    </row>
    <row r="647" spans="2:3" x14ac:dyDescent="0.2">
      <c r="B647"/>
      <c r="C647"/>
    </row>
    <row r="648" spans="2:3" x14ac:dyDescent="0.2">
      <c r="B648"/>
      <c r="C648"/>
    </row>
    <row r="649" spans="2:3" x14ac:dyDescent="0.2">
      <c r="B649"/>
      <c r="C649"/>
    </row>
    <row r="650" spans="2:3" x14ac:dyDescent="0.2">
      <c r="B650"/>
      <c r="C650"/>
    </row>
    <row r="651" spans="2:3" x14ac:dyDescent="0.2">
      <c r="B651"/>
      <c r="C651"/>
    </row>
    <row r="652" spans="2:3" x14ac:dyDescent="0.2">
      <c r="B652"/>
      <c r="C652"/>
    </row>
    <row r="653" spans="2:3" x14ac:dyDescent="0.2">
      <c r="B653"/>
      <c r="C653"/>
    </row>
    <row r="654" spans="2:3" x14ac:dyDescent="0.2">
      <c r="B654"/>
      <c r="C654"/>
    </row>
    <row r="655" spans="2:3" x14ac:dyDescent="0.2">
      <c r="B655"/>
      <c r="C655"/>
    </row>
    <row r="656" spans="2:3" x14ac:dyDescent="0.2">
      <c r="B656"/>
      <c r="C656"/>
    </row>
    <row r="657" spans="2:3" x14ac:dyDescent="0.2">
      <c r="B657"/>
      <c r="C657"/>
    </row>
    <row r="658" spans="2:3" x14ac:dyDescent="0.2">
      <c r="B658"/>
      <c r="C658"/>
    </row>
    <row r="659" spans="2:3" x14ac:dyDescent="0.2">
      <c r="B659"/>
      <c r="C659"/>
    </row>
    <row r="660" spans="2:3" x14ac:dyDescent="0.2">
      <c r="B660"/>
      <c r="C660"/>
    </row>
    <row r="661" spans="2:3" x14ac:dyDescent="0.2">
      <c r="B661"/>
      <c r="C661"/>
    </row>
    <row r="662" spans="2:3" x14ac:dyDescent="0.2">
      <c r="B662"/>
      <c r="C662"/>
    </row>
    <row r="663" spans="2:3" x14ac:dyDescent="0.2">
      <c r="B663"/>
      <c r="C663"/>
    </row>
    <row r="664" spans="2:3" x14ac:dyDescent="0.2">
      <c r="B664"/>
      <c r="C664"/>
    </row>
    <row r="665" spans="2:3" x14ac:dyDescent="0.2">
      <c r="B665"/>
      <c r="C665"/>
    </row>
    <row r="666" spans="2:3" x14ac:dyDescent="0.2">
      <c r="B666"/>
      <c r="C666"/>
    </row>
    <row r="667" spans="2:3" x14ac:dyDescent="0.2">
      <c r="B667"/>
      <c r="C667"/>
    </row>
    <row r="668" spans="2:3" x14ac:dyDescent="0.2">
      <c r="B668"/>
      <c r="C668"/>
    </row>
    <row r="669" spans="2:3" x14ac:dyDescent="0.2">
      <c r="B669"/>
      <c r="C669"/>
    </row>
    <row r="670" spans="2:3" x14ac:dyDescent="0.2">
      <c r="B670"/>
      <c r="C670"/>
    </row>
    <row r="671" spans="2:3" x14ac:dyDescent="0.2">
      <c r="B671"/>
      <c r="C671"/>
    </row>
    <row r="672" spans="2:3" x14ac:dyDescent="0.2">
      <c r="B672"/>
      <c r="C672"/>
    </row>
    <row r="673" spans="2:3" x14ac:dyDescent="0.2">
      <c r="B673"/>
      <c r="C673"/>
    </row>
    <row r="674" spans="2:3" x14ac:dyDescent="0.2">
      <c r="B674"/>
      <c r="C674"/>
    </row>
    <row r="675" spans="2:3" x14ac:dyDescent="0.2">
      <c r="B675"/>
      <c r="C675"/>
    </row>
    <row r="676" spans="2:3" x14ac:dyDescent="0.2">
      <c r="B676"/>
      <c r="C676"/>
    </row>
    <row r="677" spans="2:3" x14ac:dyDescent="0.2">
      <c r="B677"/>
      <c r="C677"/>
    </row>
    <row r="678" spans="2:3" x14ac:dyDescent="0.2">
      <c r="B678"/>
      <c r="C678"/>
    </row>
    <row r="679" spans="2:3" x14ac:dyDescent="0.2">
      <c r="B679"/>
      <c r="C679"/>
    </row>
    <row r="680" spans="2:3" x14ac:dyDescent="0.2">
      <c r="B680"/>
      <c r="C680"/>
    </row>
    <row r="681" spans="2:3" x14ac:dyDescent="0.2">
      <c r="B681"/>
      <c r="C681"/>
    </row>
    <row r="682" spans="2:3" x14ac:dyDescent="0.2">
      <c r="B682"/>
      <c r="C682"/>
    </row>
    <row r="683" spans="2:3" x14ac:dyDescent="0.2">
      <c r="B683"/>
      <c r="C683"/>
    </row>
    <row r="684" spans="2:3" x14ac:dyDescent="0.2">
      <c r="B684"/>
      <c r="C684"/>
    </row>
    <row r="685" spans="2:3" x14ac:dyDescent="0.2">
      <c r="B685"/>
      <c r="C685"/>
    </row>
    <row r="686" spans="2:3" x14ac:dyDescent="0.2">
      <c r="B686"/>
      <c r="C686"/>
    </row>
    <row r="687" spans="2:3" x14ac:dyDescent="0.2">
      <c r="B687"/>
      <c r="C687"/>
    </row>
    <row r="688" spans="2:3" x14ac:dyDescent="0.2">
      <c r="B688"/>
      <c r="C688"/>
    </row>
    <row r="689" spans="2:3" x14ac:dyDescent="0.2">
      <c r="B689"/>
      <c r="C689"/>
    </row>
    <row r="690" spans="2:3" x14ac:dyDescent="0.2">
      <c r="B690"/>
      <c r="C690"/>
    </row>
    <row r="691" spans="2:3" x14ac:dyDescent="0.2">
      <c r="B691"/>
      <c r="C691"/>
    </row>
    <row r="692" spans="2:3" x14ac:dyDescent="0.2">
      <c r="B692"/>
      <c r="C692"/>
    </row>
    <row r="693" spans="2:3" x14ac:dyDescent="0.2">
      <c r="B693"/>
      <c r="C693"/>
    </row>
    <row r="694" spans="2:3" x14ac:dyDescent="0.2">
      <c r="B694"/>
      <c r="C694"/>
    </row>
    <row r="695" spans="2:3" x14ac:dyDescent="0.2">
      <c r="B695"/>
      <c r="C695"/>
    </row>
    <row r="696" spans="2:3" x14ac:dyDescent="0.2">
      <c r="B696"/>
      <c r="C696"/>
    </row>
    <row r="697" spans="2:3" x14ac:dyDescent="0.2">
      <c r="B697"/>
      <c r="C697"/>
    </row>
    <row r="698" spans="2:3" x14ac:dyDescent="0.2">
      <c r="B698"/>
      <c r="C698"/>
    </row>
    <row r="699" spans="2:3" x14ac:dyDescent="0.2">
      <c r="B699"/>
      <c r="C699"/>
    </row>
    <row r="700" spans="2:3" x14ac:dyDescent="0.2">
      <c r="B700"/>
      <c r="C700"/>
    </row>
    <row r="701" spans="2:3" x14ac:dyDescent="0.2">
      <c r="B701"/>
      <c r="C701"/>
    </row>
    <row r="702" spans="2:3" x14ac:dyDescent="0.2">
      <c r="B702"/>
      <c r="C702"/>
    </row>
    <row r="703" spans="2:3" x14ac:dyDescent="0.2">
      <c r="B703"/>
      <c r="C703"/>
    </row>
    <row r="704" spans="2:3" x14ac:dyDescent="0.2">
      <c r="B704"/>
      <c r="C704"/>
    </row>
    <row r="705" spans="2:3" x14ac:dyDescent="0.2">
      <c r="B705"/>
      <c r="C705"/>
    </row>
    <row r="706" spans="2:3" x14ac:dyDescent="0.2">
      <c r="B706"/>
      <c r="C706"/>
    </row>
    <row r="707" spans="2:3" x14ac:dyDescent="0.2">
      <c r="B707"/>
      <c r="C707"/>
    </row>
    <row r="708" spans="2:3" x14ac:dyDescent="0.2">
      <c r="B708"/>
      <c r="C708"/>
    </row>
    <row r="709" spans="2:3" x14ac:dyDescent="0.2">
      <c r="B709"/>
      <c r="C709"/>
    </row>
    <row r="710" spans="2:3" x14ac:dyDescent="0.2">
      <c r="B710"/>
      <c r="C710"/>
    </row>
    <row r="711" spans="2:3" x14ac:dyDescent="0.2">
      <c r="B711"/>
      <c r="C711"/>
    </row>
    <row r="712" spans="2:3" x14ac:dyDescent="0.2">
      <c r="B712"/>
      <c r="C712"/>
    </row>
    <row r="713" spans="2:3" x14ac:dyDescent="0.2">
      <c r="B713"/>
      <c r="C713"/>
    </row>
    <row r="714" spans="2:3" x14ac:dyDescent="0.2">
      <c r="B714"/>
      <c r="C714"/>
    </row>
    <row r="715" spans="2:3" x14ac:dyDescent="0.2">
      <c r="B715"/>
      <c r="C715"/>
    </row>
    <row r="716" spans="2:3" x14ac:dyDescent="0.2">
      <c r="B716"/>
      <c r="C716"/>
    </row>
    <row r="717" spans="2:3" x14ac:dyDescent="0.2">
      <c r="B717"/>
      <c r="C717"/>
    </row>
    <row r="718" spans="2:3" x14ac:dyDescent="0.2">
      <c r="B718"/>
      <c r="C718"/>
    </row>
    <row r="719" spans="2:3" x14ac:dyDescent="0.2">
      <c r="B719"/>
      <c r="C719"/>
    </row>
    <row r="720" spans="2:3" x14ac:dyDescent="0.2">
      <c r="B720"/>
      <c r="C720"/>
    </row>
    <row r="721" spans="2:3" x14ac:dyDescent="0.2">
      <c r="B721"/>
      <c r="C721"/>
    </row>
    <row r="722" spans="2:3" x14ac:dyDescent="0.2">
      <c r="B722"/>
      <c r="C722"/>
    </row>
    <row r="723" spans="2:3" x14ac:dyDescent="0.2">
      <c r="B723"/>
      <c r="C723"/>
    </row>
    <row r="724" spans="2:3" x14ac:dyDescent="0.2">
      <c r="B724"/>
      <c r="C724"/>
    </row>
    <row r="725" spans="2:3" x14ac:dyDescent="0.2">
      <c r="B725"/>
      <c r="C725"/>
    </row>
    <row r="726" spans="2:3" x14ac:dyDescent="0.2">
      <c r="B726"/>
      <c r="C726"/>
    </row>
    <row r="727" spans="2:3" x14ac:dyDescent="0.2">
      <c r="B727"/>
      <c r="C727"/>
    </row>
    <row r="728" spans="2:3" x14ac:dyDescent="0.2">
      <c r="B728"/>
      <c r="C728"/>
    </row>
    <row r="729" spans="2:3" x14ac:dyDescent="0.2">
      <c r="B729"/>
      <c r="C729"/>
    </row>
    <row r="730" spans="2:3" x14ac:dyDescent="0.2">
      <c r="B730"/>
      <c r="C730"/>
    </row>
    <row r="731" spans="2:3" x14ac:dyDescent="0.2">
      <c r="B731"/>
      <c r="C731"/>
    </row>
    <row r="732" spans="2:3" x14ac:dyDescent="0.2">
      <c r="B732"/>
      <c r="C732"/>
    </row>
    <row r="733" spans="2:3" x14ac:dyDescent="0.2">
      <c r="B733"/>
      <c r="C733"/>
    </row>
    <row r="734" spans="2:3" x14ac:dyDescent="0.2">
      <c r="B734"/>
      <c r="C734"/>
    </row>
    <row r="735" spans="2:3" x14ac:dyDescent="0.2">
      <c r="B735"/>
      <c r="C735"/>
    </row>
    <row r="736" spans="2:3" x14ac:dyDescent="0.2">
      <c r="B736"/>
      <c r="C736"/>
    </row>
    <row r="737" spans="2:3" x14ac:dyDescent="0.2">
      <c r="B737"/>
      <c r="C737"/>
    </row>
    <row r="738" spans="2:3" x14ac:dyDescent="0.2">
      <c r="B738"/>
      <c r="C738"/>
    </row>
    <row r="739" spans="2:3" x14ac:dyDescent="0.2">
      <c r="B739"/>
      <c r="C739"/>
    </row>
    <row r="740" spans="2:3" x14ac:dyDescent="0.2">
      <c r="B740"/>
      <c r="C740"/>
    </row>
    <row r="741" spans="2:3" x14ac:dyDescent="0.2">
      <c r="B741"/>
      <c r="C741"/>
    </row>
    <row r="742" spans="2:3" x14ac:dyDescent="0.2">
      <c r="B742"/>
      <c r="C742"/>
    </row>
    <row r="743" spans="2:3" x14ac:dyDescent="0.2">
      <c r="B743"/>
      <c r="C743"/>
    </row>
    <row r="744" spans="2:3" x14ac:dyDescent="0.2">
      <c r="B744"/>
      <c r="C744"/>
    </row>
    <row r="745" spans="2:3" x14ac:dyDescent="0.2">
      <c r="B745"/>
      <c r="C745"/>
    </row>
    <row r="746" spans="2:3" x14ac:dyDescent="0.2">
      <c r="B746"/>
      <c r="C746"/>
    </row>
    <row r="747" spans="2:3" x14ac:dyDescent="0.2">
      <c r="B747"/>
      <c r="C747"/>
    </row>
    <row r="748" spans="2:3" x14ac:dyDescent="0.2">
      <c r="B748"/>
      <c r="C748"/>
    </row>
    <row r="749" spans="2:3" x14ac:dyDescent="0.2">
      <c r="B749"/>
      <c r="C749"/>
    </row>
    <row r="750" spans="2:3" x14ac:dyDescent="0.2">
      <c r="B750"/>
      <c r="C750"/>
    </row>
    <row r="751" spans="2:3" x14ac:dyDescent="0.2">
      <c r="B751"/>
      <c r="C751"/>
    </row>
    <row r="752" spans="2:3" x14ac:dyDescent="0.2">
      <c r="B752"/>
      <c r="C752"/>
    </row>
    <row r="753" spans="2:3" x14ac:dyDescent="0.2">
      <c r="B753"/>
      <c r="C753"/>
    </row>
    <row r="754" spans="2:3" x14ac:dyDescent="0.2">
      <c r="B754"/>
      <c r="C754"/>
    </row>
    <row r="755" spans="2:3" x14ac:dyDescent="0.2">
      <c r="B755"/>
      <c r="C755"/>
    </row>
    <row r="756" spans="2:3" x14ac:dyDescent="0.2">
      <c r="B756"/>
      <c r="C756"/>
    </row>
    <row r="757" spans="2:3" x14ac:dyDescent="0.2">
      <c r="B757"/>
      <c r="C757"/>
    </row>
    <row r="758" spans="2:3" x14ac:dyDescent="0.2">
      <c r="B758"/>
      <c r="C758"/>
    </row>
    <row r="759" spans="2:3" x14ac:dyDescent="0.2">
      <c r="B759"/>
      <c r="C759"/>
    </row>
    <row r="760" spans="2:3" x14ac:dyDescent="0.2">
      <c r="B760"/>
      <c r="C760"/>
    </row>
    <row r="761" spans="2:3" x14ac:dyDescent="0.2">
      <c r="B761"/>
      <c r="C761"/>
    </row>
    <row r="762" spans="2:3" x14ac:dyDescent="0.2">
      <c r="B762"/>
      <c r="C762"/>
    </row>
    <row r="763" spans="2:3" x14ac:dyDescent="0.2">
      <c r="B763"/>
      <c r="C763"/>
    </row>
    <row r="764" spans="2:3" x14ac:dyDescent="0.2">
      <c r="B764"/>
      <c r="C764"/>
    </row>
    <row r="765" spans="2:3" x14ac:dyDescent="0.2">
      <c r="B765"/>
      <c r="C765"/>
    </row>
    <row r="766" spans="2:3" x14ac:dyDescent="0.2">
      <c r="B766"/>
      <c r="C76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Worth MoM</vt:lpstr>
      <vt:lpstr>Brokerage Ledger</vt:lpstr>
      <vt:lpstr>Accounts</vt:lpstr>
      <vt:lpstr>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Norby</cp:lastModifiedBy>
  <dcterms:created xsi:type="dcterms:W3CDTF">2026-03-31T03:04:34Z</dcterms:created>
  <dcterms:modified xsi:type="dcterms:W3CDTF">2026-04-23T01:35:48Z</dcterms:modified>
</cp:coreProperties>
</file>