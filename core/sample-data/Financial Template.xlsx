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426"/>
  <workbookPr filterPrivacy="1"/>
  <xr:revisionPtr revIDLastSave="0" documentId="13_ncr:1_{FA88E46C-B6E9-004A-8F64-79DFDAB8231D}" xr6:coauthVersionLast="47" xr6:coauthVersionMax="47" xr10:uidLastSave="{00000000-0000-0000-0000-000000000000}"/>
  <bookViews>
    <workbookView xWindow="33540" yWindow="1060" windowWidth="31760" windowHeight="24500" activeTab="6" xr2:uid="{00000000-000D-0000-FFFF-FFFF00000000}"/>
  </bookViews>
  <sheets>
    <sheet name="Lookup Tables" sheetId="8" state="hidden" r:id="rId1"/>
    <sheet name="Accounts" sheetId="4" r:id="rId2"/>
    <sheet name="Net Worth MoM" sheetId="2" r:id="rId3"/>
    <sheet name="Budget" sheetId="9" r:id="rId4"/>
    <sheet name="Mortgage" sheetId="1" r:id="rId5"/>
    <sheet name="Education Savings" sheetId="7" r:id="rId6"/>
    <sheet name="Brokerage Ledger" sheetId="10" r:id="rId7"/>
    <sheet name="Pension" sheetId="12" r:id="rId8"/>
    <sheet name="TICKERS" sheetId="5" r:id="rId9"/>
    <sheet name="Sankey" sheetId="11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7" i="10" l="1" a="1"/>
  <c r="C97" i="10" s="1"/>
  <c r="C98" i="10" a="1"/>
  <c r="C98" i="10" s="1"/>
  <c r="C99" i="10" a="1"/>
  <c r="C99" i="10" s="1"/>
  <c r="D97" i="10" a="1"/>
  <c r="D97" i="10" s="1"/>
  <c r="D98" i="10" a="1"/>
  <c r="D98" i="10" s="1"/>
  <c r="D99" i="10" a="1"/>
  <c r="D99" i="10" s="1"/>
  <c r="E97" i="10"/>
  <c r="E98" i="10"/>
  <c r="E99" i="10"/>
  <c r="G97" i="10" a="1"/>
  <c r="G97" i="10" s="1"/>
  <c r="G98" i="10" a="1"/>
  <c r="G98" i="10" s="1"/>
  <c r="G99" i="10" a="1"/>
  <c r="G99" i="10" s="1"/>
  <c r="C92" i="10" a="1"/>
  <c r="C92" i="10" s="1"/>
  <c r="C93" i="10" a="1"/>
  <c r="C93" i="10" s="1"/>
  <c r="C94" i="10" a="1"/>
  <c r="C94" i="10" s="1"/>
  <c r="C95" i="10" a="1"/>
  <c r="C95" i="10" s="1"/>
  <c r="C96" i="10" a="1"/>
  <c r="C96" i="10" s="1"/>
  <c r="D92" i="10" a="1"/>
  <c r="D92" i="10" s="1"/>
  <c r="D93" i="10" a="1"/>
  <c r="D93" i="10" s="1"/>
  <c r="D94" i="10" a="1"/>
  <c r="D94" i="10" s="1"/>
  <c r="D95" i="10" a="1"/>
  <c r="D95" i="10" s="1"/>
  <c r="D96" i="10" a="1"/>
  <c r="D96" i="10" s="1"/>
  <c r="E92" i="10"/>
  <c r="E93" i="10"/>
  <c r="E94" i="10"/>
  <c r="E95" i="10"/>
  <c r="E96" i="10"/>
  <c r="G92" i="10" a="1"/>
  <c r="G92" i="10" s="1"/>
  <c r="G93" i="10" a="1"/>
  <c r="G93" i="10" s="1"/>
  <c r="G94" i="10" a="1"/>
  <c r="G94" i="10" s="1"/>
  <c r="G95" i="10" a="1"/>
  <c r="G95" i="10" s="1"/>
  <c r="G96" i="10" a="1"/>
  <c r="G96" i="10" s="1"/>
  <c r="C65" i="10" a="1"/>
  <c r="C65" i="10" s="1"/>
  <c r="C66" i="10" a="1"/>
  <c r="C66" i="10" s="1"/>
  <c r="C67" i="10" a="1"/>
  <c r="C67" i="10" s="1"/>
  <c r="C68" i="10" a="1"/>
  <c r="C68" i="10" s="1"/>
  <c r="C69" i="10" a="1"/>
  <c r="C69" i="10" s="1"/>
  <c r="C70" i="10" a="1"/>
  <c r="C70" i="10" s="1"/>
  <c r="C71" i="10" a="1"/>
  <c r="C71" i="10" s="1"/>
  <c r="C72" i="10" a="1"/>
  <c r="C72" i="10" s="1"/>
  <c r="C73" i="10" a="1"/>
  <c r="C73" i="10" s="1"/>
  <c r="C74" i="10" a="1"/>
  <c r="C74" i="10" s="1"/>
  <c r="C75" i="10" a="1"/>
  <c r="C75" i="10" s="1"/>
  <c r="C76" i="10" a="1"/>
  <c r="C76" i="10" s="1"/>
  <c r="C77" i="10" a="1"/>
  <c r="C77" i="10" s="1"/>
  <c r="C78" i="10" a="1"/>
  <c r="C78" i="10" s="1"/>
  <c r="C79" i="10" a="1"/>
  <c r="C79" i="10" s="1"/>
  <c r="C80" i="10" a="1"/>
  <c r="C80" i="10" s="1"/>
  <c r="C81" i="10" a="1"/>
  <c r="C81" i="10" s="1"/>
  <c r="C82" i="10" a="1"/>
  <c r="C82" i="10" s="1"/>
  <c r="C83" i="10" a="1"/>
  <c r="C83" i="10" s="1"/>
  <c r="C84" i="10" a="1"/>
  <c r="C84" i="10" s="1"/>
  <c r="C85" i="10" a="1"/>
  <c r="C85" i="10" s="1"/>
  <c r="C86" i="10" a="1"/>
  <c r="C86" i="10" s="1"/>
  <c r="C87" i="10" a="1"/>
  <c r="C87" i="10" s="1"/>
  <c r="C88" i="10" a="1"/>
  <c r="C88" i="10" s="1"/>
  <c r="C89" i="10" a="1"/>
  <c r="C89" i="10" s="1"/>
  <c r="C90" i="10" a="1"/>
  <c r="C90" i="10" s="1"/>
  <c r="C91" i="10" a="1"/>
  <c r="C91" i="10" s="1"/>
  <c r="D65" i="10" a="1"/>
  <c r="D65" i="10" s="1"/>
  <c r="D66" i="10" a="1"/>
  <c r="D66" i="10" s="1"/>
  <c r="D67" i="10" a="1"/>
  <c r="D67" i="10" s="1"/>
  <c r="D68" i="10" a="1"/>
  <c r="D68" i="10" s="1"/>
  <c r="D69" i="10" a="1"/>
  <c r="D69" i="10" s="1"/>
  <c r="D70" i="10" a="1"/>
  <c r="D70" i="10" s="1"/>
  <c r="D71" i="10" a="1"/>
  <c r="D71" i="10" s="1"/>
  <c r="D72" i="10" a="1"/>
  <c r="D72" i="10" s="1"/>
  <c r="D73" i="10" a="1"/>
  <c r="D73" i="10" s="1"/>
  <c r="D74" i="10" a="1"/>
  <c r="D74" i="10" s="1"/>
  <c r="D75" i="10" a="1"/>
  <c r="D75" i="10" s="1"/>
  <c r="D76" i="10" a="1"/>
  <c r="D76" i="10" s="1"/>
  <c r="D77" i="10" a="1"/>
  <c r="D77" i="10" s="1"/>
  <c r="D78" i="10" a="1"/>
  <c r="D78" i="10" s="1"/>
  <c r="D79" i="10" a="1"/>
  <c r="D79" i="10" s="1"/>
  <c r="D80" i="10" a="1"/>
  <c r="D80" i="10" s="1"/>
  <c r="D81" i="10" a="1"/>
  <c r="D81" i="10" s="1"/>
  <c r="D82" i="10" a="1"/>
  <c r="D82" i="10" s="1"/>
  <c r="D83" i="10" a="1"/>
  <c r="D83" i="10" s="1"/>
  <c r="D84" i="10" a="1"/>
  <c r="D84" i="10" s="1"/>
  <c r="D85" i="10" a="1"/>
  <c r="D85" i="10" s="1"/>
  <c r="D86" i="10" a="1"/>
  <c r="D86" i="10" s="1"/>
  <c r="D87" i="10" a="1"/>
  <c r="D87" i="10" s="1"/>
  <c r="D88" i="10" a="1"/>
  <c r="D88" i="10" s="1"/>
  <c r="D89" i="10" a="1"/>
  <c r="D89" i="10" s="1"/>
  <c r="D90" i="10" a="1"/>
  <c r="D90" i="10" s="1"/>
  <c r="D91" i="10" a="1"/>
  <c r="D91" i="10" s="1"/>
  <c r="E65" i="10"/>
  <c r="E66" i="10"/>
  <c r="E67" i="10"/>
  <c r="E68" i="10"/>
  <c r="E69" i="10"/>
  <c r="E70" i="10"/>
  <c r="E71" i="10"/>
  <c r="E72" i="10"/>
  <c r="E73" i="10"/>
  <c r="E74" i="10"/>
  <c r="E75" i="10"/>
  <c r="E76" i="10"/>
  <c r="E77" i="10"/>
  <c r="E78" i="10"/>
  <c r="E79" i="10"/>
  <c r="E80" i="10"/>
  <c r="E81" i="10"/>
  <c r="E82" i="10"/>
  <c r="E83" i="10"/>
  <c r="E84" i="10"/>
  <c r="E85" i="10"/>
  <c r="E86" i="10"/>
  <c r="E87" i="10"/>
  <c r="E88" i="10"/>
  <c r="E89" i="10"/>
  <c r="E90" i="10"/>
  <c r="E91" i="10"/>
  <c r="G65" i="10" a="1"/>
  <c r="G65" i="10" s="1"/>
  <c r="G66" i="10" a="1"/>
  <c r="G66" i="10" s="1"/>
  <c r="G67" i="10" a="1"/>
  <c r="G67" i="10" s="1"/>
  <c r="G68" i="10" a="1"/>
  <c r="G68" i="10"/>
  <c r="G69" i="10" a="1"/>
  <c r="G69" i="10" s="1"/>
  <c r="G70" i="10" a="1"/>
  <c r="G70" i="10"/>
  <c r="G71" i="10" a="1"/>
  <c r="G71" i="10" s="1"/>
  <c r="G72" i="10" a="1"/>
  <c r="G72" i="10" s="1"/>
  <c r="G73" i="10" a="1"/>
  <c r="G73" i="10"/>
  <c r="G74" i="10" a="1"/>
  <c r="G74" i="10" s="1"/>
  <c r="G75" i="10" a="1"/>
  <c r="G75" i="10" s="1"/>
  <c r="G76" i="10" a="1"/>
  <c r="G76" i="10" s="1"/>
  <c r="G77" i="10" a="1"/>
  <c r="G77" i="10" s="1"/>
  <c r="G78" i="10" a="1"/>
  <c r="G78" i="10"/>
  <c r="G79" i="10" a="1"/>
  <c r="G79" i="10" s="1"/>
  <c r="G80" i="10" a="1"/>
  <c r="G80" i="10" s="1"/>
  <c r="G81" i="10" a="1"/>
  <c r="G81" i="10" s="1"/>
  <c r="G82" i="10" a="1"/>
  <c r="G82" i="10" s="1"/>
  <c r="G83" i="10" a="1"/>
  <c r="G83" i="10" s="1"/>
  <c r="G84" i="10" a="1"/>
  <c r="G84" i="10" s="1"/>
  <c r="G85" i="10" a="1"/>
  <c r="G85" i="10" s="1"/>
  <c r="G86" i="10" a="1"/>
  <c r="G86" i="10" s="1"/>
  <c r="G87" i="10" a="1"/>
  <c r="G87" i="10" s="1"/>
  <c r="G88" i="10" a="1"/>
  <c r="G88" i="10" s="1"/>
  <c r="G89" i="10" a="1"/>
  <c r="G89" i="10"/>
  <c r="G90" i="10" a="1"/>
  <c r="G90" i="10" s="1"/>
  <c r="G91" i="10" a="1"/>
  <c r="G91" i="10" s="1"/>
  <c r="C51" i="10" a="1"/>
  <c r="C51" i="10" s="1"/>
  <c r="C52" i="10" a="1"/>
  <c r="C52" i="10" s="1"/>
  <c r="C53" i="10" a="1"/>
  <c r="C53" i="10" s="1"/>
  <c r="C54" i="10" a="1"/>
  <c r="C54" i="10" s="1"/>
  <c r="C55" i="10" a="1"/>
  <c r="C55" i="10" s="1"/>
  <c r="C56" i="10" a="1"/>
  <c r="C56" i="10" s="1"/>
  <c r="C57" i="10" a="1"/>
  <c r="C57" i="10" s="1"/>
  <c r="C58" i="10" a="1"/>
  <c r="C58" i="10" s="1"/>
  <c r="C59" i="10" a="1"/>
  <c r="C59" i="10"/>
  <c r="C60" i="10" a="1"/>
  <c r="C60" i="10" s="1"/>
  <c r="C61" i="10" a="1"/>
  <c r="C61" i="10" s="1"/>
  <c r="C62" i="10" a="1"/>
  <c r="C62" i="10" s="1"/>
  <c r="C63" i="10" a="1"/>
  <c r="C63" i="10" s="1"/>
  <c r="C64" i="10" a="1"/>
  <c r="C64" i="10" s="1"/>
  <c r="D51" i="10" a="1"/>
  <c r="D51" i="10" s="1"/>
  <c r="D52" i="10" a="1"/>
  <c r="D52" i="10" s="1"/>
  <c r="D53" i="10" a="1"/>
  <c r="D53" i="10" s="1"/>
  <c r="D54" i="10" a="1"/>
  <c r="D54" i="10" s="1"/>
  <c r="D55" i="10" a="1"/>
  <c r="D55" i="10" s="1"/>
  <c r="D56" i="10" a="1"/>
  <c r="D56" i="10" s="1"/>
  <c r="D57" i="10" a="1"/>
  <c r="D57" i="10" s="1"/>
  <c r="D58" i="10" a="1"/>
  <c r="D58" i="10" s="1"/>
  <c r="D59" i="10" a="1"/>
  <c r="D59" i="10" s="1"/>
  <c r="D60" i="10" a="1"/>
  <c r="D60" i="10" s="1"/>
  <c r="D61" i="10" a="1"/>
  <c r="D61" i="10" s="1"/>
  <c r="D62" i="10" a="1"/>
  <c r="D62" i="10" s="1"/>
  <c r="D63" i="10" a="1"/>
  <c r="D63" i="10" s="1"/>
  <c r="D64" i="10" a="1"/>
  <c r="D64" i="10" s="1"/>
  <c r="E51" i="10"/>
  <c r="E52" i="10"/>
  <c r="E53" i="10"/>
  <c r="E54" i="10"/>
  <c r="E55" i="10"/>
  <c r="E56" i="10"/>
  <c r="E57" i="10"/>
  <c r="E58" i="10"/>
  <c r="E59" i="10"/>
  <c r="E60" i="10"/>
  <c r="E61" i="10"/>
  <c r="E62" i="10"/>
  <c r="E63" i="10"/>
  <c r="E64" i="10"/>
  <c r="G51" i="10" a="1"/>
  <c r="G51" i="10" s="1"/>
  <c r="G52" i="10" a="1"/>
  <c r="G52" i="10" s="1"/>
  <c r="G53" i="10" a="1"/>
  <c r="G53" i="10" s="1"/>
  <c r="G54" i="10" a="1"/>
  <c r="G54" i="10" s="1"/>
  <c r="G55" i="10" a="1"/>
  <c r="G55" i="10" s="1"/>
  <c r="G56" i="10" a="1"/>
  <c r="G56" i="10" s="1"/>
  <c r="G57" i="10" a="1"/>
  <c r="G57" i="10" s="1"/>
  <c r="G58" i="10" a="1"/>
  <c r="G58" i="10" s="1"/>
  <c r="G59" i="10" a="1"/>
  <c r="G59" i="10" s="1"/>
  <c r="G60" i="10" a="1"/>
  <c r="G60" i="10" s="1"/>
  <c r="G61" i="10" a="1"/>
  <c r="G61" i="10" s="1"/>
  <c r="G62" i="10" a="1"/>
  <c r="G62" i="10" s="1"/>
  <c r="G63" i="10" a="1"/>
  <c r="G63" i="10" s="1"/>
  <c r="G64" i="10" a="1"/>
  <c r="G64" i="10" s="1"/>
  <c r="E50" i="10"/>
  <c r="E49" i="10"/>
  <c r="E48" i="10"/>
  <c r="E47" i="10"/>
  <c r="E46" i="10"/>
  <c r="E45" i="10"/>
  <c r="E44" i="10"/>
  <c r="E43" i="10"/>
  <c r="E42" i="10"/>
  <c r="E41" i="10"/>
  <c r="E40" i="10"/>
  <c r="E39" i="10"/>
  <c r="E38" i="10"/>
  <c r="E37" i="10"/>
  <c r="E36" i="10"/>
  <c r="E35" i="10"/>
  <c r="E34" i="10"/>
  <c r="E33" i="10"/>
  <c r="E32" i="10"/>
  <c r="E31" i="10"/>
  <c r="E30" i="10"/>
  <c r="E29" i="10"/>
  <c r="E28" i="10"/>
  <c r="E27" i="10"/>
  <c r="E26" i="10"/>
  <c r="E25" i="10"/>
  <c r="E24" i="10"/>
  <c r="E23" i="10"/>
  <c r="E2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8" i="10"/>
  <c r="E7" i="10"/>
  <c r="E6" i="10"/>
  <c r="E5" i="10"/>
  <c r="E4" i="10"/>
  <c r="E3" i="10"/>
  <c r="C48" i="10" a="1"/>
  <c r="C48" i="10" s="1"/>
  <c r="C49" i="10" a="1"/>
  <c r="C49" i="10" s="1"/>
  <c r="C50" i="10" a="1"/>
  <c r="C50" i="10" s="1"/>
  <c r="D48" i="10" a="1"/>
  <c r="D48" i="10" s="1"/>
  <c r="D49" i="10" a="1"/>
  <c r="D49" i="10" s="1"/>
  <c r="D50" i="10" a="1"/>
  <c r="D50" i="10" s="1"/>
  <c r="G48" i="10" a="1"/>
  <c r="G48" i="10" s="1"/>
  <c r="G49" i="10" a="1"/>
  <c r="G49" i="10" s="1"/>
  <c r="G50" i="10" a="1"/>
  <c r="G50" i="10" s="1"/>
  <c r="C46" i="10" a="1"/>
  <c r="C46" i="10" s="1"/>
  <c r="C47" i="10" a="1"/>
  <c r="C47" i="10" s="1"/>
  <c r="D46" i="10" a="1"/>
  <c r="D46" i="10" s="1"/>
  <c r="D47" i="10" a="1"/>
  <c r="D47" i="10" s="1"/>
  <c r="G46" i="10" a="1"/>
  <c r="G46" i="10" s="1"/>
  <c r="G47" i="10" a="1"/>
  <c r="G47" i="10" s="1"/>
  <c r="C45" i="10" a="1"/>
  <c r="C45" i="10" s="1"/>
  <c r="D45" i="10" a="1"/>
  <c r="D45" i="10" s="1"/>
  <c r="G45" i="10" a="1"/>
  <c r="G45" i="10" s="1"/>
  <c r="C43" i="10" a="1"/>
  <c r="C43" i="10" s="1"/>
  <c r="C44" i="10" a="1"/>
  <c r="C44" i="10" s="1"/>
  <c r="D43" i="10" a="1"/>
  <c r="D43" i="10" s="1"/>
  <c r="D44" i="10" a="1"/>
  <c r="D44" i="10" s="1"/>
  <c r="G43" i="10" a="1"/>
  <c r="G43" i="10" s="1"/>
  <c r="G44" i="10" a="1"/>
  <c r="G44" i="10" s="1"/>
  <c r="C42" i="10" a="1"/>
  <c r="C42" i="10" s="1"/>
  <c r="D42" i="10" a="1"/>
  <c r="D42" i="10" s="1"/>
  <c r="G42" i="10" a="1"/>
  <c r="G42" i="10" s="1"/>
  <c r="G3" i="10" a="1"/>
  <c r="G3" i="10" s="1"/>
  <c r="G4" i="10" a="1"/>
  <c r="G4" i="10" s="1"/>
  <c r="G5" i="10" a="1"/>
  <c r="G5" i="10" s="1"/>
  <c r="G6" i="10" a="1"/>
  <c r="G6" i="10" s="1"/>
  <c r="G7" i="10" a="1"/>
  <c r="G7" i="10" s="1"/>
  <c r="G8" i="10" a="1"/>
  <c r="G8" i="10" s="1"/>
  <c r="G9" i="10" a="1"/>
  <c r="G9" i="10" s="1"/>
  <c r="G10" i="10" a="1"/>
  <c r="G10" i="10" s="1"/>
  <c r="G11" i="10" a="1"/>
  <c r="G11" i="10" s="1"/>
  <c r="G12" i="10" a="1"/>
  <c r="G12" i="10" s="1"/>
  <c r="G13" i="10" a="1"/>
  <c r="G13" i="10" s="1"/>
  <c r="G14" i="10" a="1"/>
  <c r="G14" i="10" s="1"/>
  <c r="G15" i="10" a="1"/>
  <c r="G15" i="10" s="1"/>
  <c r="G16" i="10" a="1"/>
  <c r="G16" i="10" s="1"/>
  <c r="G17" i="10" a="1"/>
  <c r="G17" i="10" s="1"/>
  <c r="G18" i="10" a="1"/>
  <c r="G18" i="10" s="1"/>
  <c r="G19" i="10" a="1"/>
  <c r="G19" i="10" s="1"/>
  <c r="G20" i="10" a="1"/>
  <c r="G20" i="10" s="1"/>
  <c r="G21" i="10" a="1"/>
  <c r="G21" i="10" s="1"/>
  <c r="G22" i="10" a="1"/>
  <c r="G22" i="10" s="1"/>
  <c r="G23" i="10" a="1"/>
  <c r="G23" i="10" s="1"/>
  <c r="G24" i="10" a="1"/>
  <c r="G24" i="10" s="1"/>
  <c r="G25" i="10" a="1"/>
  <c r="G25" i="10" s="1"/>
  <c r="G26" i="10" a="1"/>
  <c r="G26" i="10" s="1"/>
  <c r="G27" i="10" a="1"/>
  <c r="G27" i="10" s="1"/>
  <c r="G28" i="10" a="1"/>
  <c r="G28" i="10" s="1"/>
  <c r="G29" i="10" a="1"/>
  <c r="G29" i="10" s="1"/>
  <c r="G30" i="10" a="1"/>
  <c r="G30" i="10" s="1"/>
  <c r="G31" i="10" a="1"/>
  <c r="G31" i="10" s="1"/>
  <c r="G32" i="10" a="1"/>
  <c r="G32" i="10" s="1"/>
  <c r="G33" i="10" a="1"/>
  <c r="G33" i="10" s="1"/>
  <c r="G34" i="10" a="1"/>
  <c r="G34" i="10" s="1"/>
  <c r="G35" i="10" a="1"/>
  <c r="G35" i="10" s="1"/>
  <c r="G36" i="10" a="1"/>
  <c r="G36" i="10" s="1"/>
  <c r="G37" i="10" a="1"/>
  <c r="G37" i="10" s="1"/>
  <c r="G38" i="10" a="1"/>
  <c r="G38" i="10" s="1"/>
  <c r="G39" i="10" a="1"/>
  <c r="G39" i="10" s="1"/>
  <c r="G40" i="10" a="1"/>
  <c r="G40" i="10" s="1"/>
  <c r="G41" i="10" a="1"/>
  <c r="G41" i="10" s="1"/>
  <c r="D3" i="10" a="1"/>
  <c r="D3" i="10" s="1"/>
  <c r="D4" i="10" a="1"/>
  <c r="D4" i="10" s="1"/>
  <c r="D5" i="10" a="1"/>
  <c r="D5" i="10" s="1"/>
  <c r="D6" i="10" a="1"/>
  <c r="D6" i="10" s="1"/>
  <c r="D7" i="10" a="1"/>
  <c r="D7" i="10" s="1"/>
  <c r="D8" i="10" a="1"/>
  <c r="D8" i="10" s="1"/>
  <c r="D9" i="10" a="1"/>
  <c r="D9" i="10" s="1"/>
  <c r="D10" i="10" a="1"/>
  <c r="D10" i="10" s="1"/>
  <c r="D11" i="10" a="1"/>
  <c r="D11" i="10" s="1"/>
  <c r="D12" i="10" a="1"/>
  <c r="D12" i="10" s="1"/>
  <c r="D13" i="10" a="1"/>
  <c r="D13" i="10" s="1"/>
  <c r="D14" i="10" a="1"/>
  <c r="D14" i="10" s="1"/>
  <c r="D15" i="10" a="1"/>
  <c r="D15" i="10" s="1"/>
  <c r="D16" i="10" a="1"/>
  <c r="D16" i="10" s="1"/>
  <c r="D17" i="10" a="1"/>
  <c r="D17" i="10" s="1"/>
  <c r="D18" i="10" a="1"/>
  <c r="D18" i="10" s="1"/>
  <c r="D19" i="10" a="1"/>
  <c r="D19" i="10" s="1"/>
  <c r="D20" i="10" a="1"/>
  <c r="D20" i="10" s="1"/>
  <c r="D21" i="10" a="1"/>
  <c r="D21" i="10" s="1"/>
  <c r="D22" i="10" a="1"/>
  <c r="D22" i="10" s="1"/>
  <c r="D23" i="10" a="1"/>
  <c r="D23" i="10" s="1"/>
  <c r="D24" i="10" a="1"/>
  <c r="D24" i="10" s="1"/>
  <c r="D25" i="10" a="1"/>
  <c r="D25" i="10" s="1"/>
  <c r="D26" i="10" a="1"/>
  <c r="D26" i="10" s="1"/>
  <c r="D27" i="10" a="1"/>
  <c r="D27" i="10" s="1"/>
  <c r="D28" i="10" a="1"/>
  <c r="D28" i="10" s="1"/>
  <c r="D29" i="10" a="1"/>
  <c r="D29" i="10" s="1"/>
  <c r="D30" i="10" a="1"/>
  <c r="D30" i="10" s="1"/>
  <c r="D31" i="10" a="1"/>
  <c r="D31" i="10" s="1"/>
  <c r="D32" i="10" a="1"/>
  <c r="D32" i="10" s="1"/>
  <c r="D33" i="10" a="1"/>
  <c r="D33" i="10" s="1"/>
  <c r="D34" i="10" a="1"/>
  <c r="D34" i="10" s="1"/>
  <c r="D35" i="10" a="1"/>
  <c r="D35" i="10" s="1"/>
  <c r="D36" i="10" a="1"/>
  <c r="D36" i="10" s="1"/>
  <c r="D37" i="10" a="1"/>
  <c r="D37" i="10" s="1"/>
  <c r="D38" i="10" a="1"/>
  <c r="D38" i="10" s="1"/>
  <c r="D39" i="10" a="1"/>
  <c r="D39" i="10" s="1"/>
  <c r="D40" i="10" a="1"/>
  <c r="D40" i="10" s="1"/>
  <c r="D41" i="10" a="1"/>
  <c r="D41" i="10" s="1"/>
  <c r="C3" i="10" a="1"/>
  <c r="C3" i="10" s="1"/>
  <c r="C4" i="10" a="1"/>
  <c r="C4" i="10" s="1"/>
  <c r="C5" i="10" a="1"/>
  <c r="C5" i="10" s="1"/>
  <c r="C6" i="10" a="1"/>
  <c r="C6" i="10" s="1"/>
  <c r="C7" i="10" a="1"/>
  <c r="C7" i="10" s="1"/>
  <c r="C8" i="10" a="1"/>
  <c r="C8" i="10" s="1"/>
  <c r="C9" i="10" a="1"/>
  <c r="C9" i="10" s="1"/>
  <c r="C10" i="10" a="1"/>
  <c r="C10" i="10" s="1"/>
  <c r="C11" i="10" a="1"/>
  <c r="C11" i="10" s="1"/>
  <c r="C12" i="10" a="1"/>
  <c r="C12" i="10" s="1"/>
  <c r="C13" i="10" a="1"/>
  <c r="C13" i="10" s="1"/>
  <c r="C14" i="10" a="1"/>
  <c r="C14" i="10" s="1"/>
  <c r="C15" i="10" a="1"/>
  <c r="C15" i="10" s="1"/>
  <c r="C16" i="10" a="1"/>
  <c r="C16" i="10" s="1"/>
  <c r="C17" i="10" a="1"/>
  <c r="C17" i="10" s="1"/>
  <c r="C18" i="10" a="1"/>
  <c r="C18" i="10" s="1"/>
  <c r="C19" i="10" a="1"/>
  <c r="C19" i="10" s="1"/>
  <c r="C20" i="10" a="1"/>
  <c r="C20" i="10" s="1"/>
  <c r="C21" i="10" a="1"/>
  <c r="C21" i="10" s="1"/>
  <c r="C22" i="10" a="1"/>
  <c r="C22" i="10" s="1"/>
  <c r="C23" i="10" a="1"/>
  <c r="C23" i="10" s="1"/>
  <c r="C24" i="10" a="1"/>
  <c r="C24" i="10" s="1"/>
  <c r="C25" i="10" a="1"/>
  <c r="C25" i="10" s="1"/>
  <c r="C26" i="10" a="1"/>
  <c r="C26" i="10" s="1"/>
  <c r="C27" i="10" a="1"/>
  <c r="C27" i="10" s="1"/>
  <c r="C28" i="10" a="1"/>
  <c r="C28" i="10" s="1"/>
  <c r="C29" i="10" a="1"/>
  <c r="C29" i="10" s="1"/>
  <c r="C30" i="10" a="1"/>
  <c r="C30" i="10" s="1"/>
  <c r="C31" i="10" a="1"/>
  <c r="C31" i="10" s="1"/>
  <c r="C32" i="10" a="1"/>
  <c r="C32" i="10" s="1"/>
  <c r="C33" i="10" a="1"/>
  <c r="C33" i="10" s="1"/>
  <c r="C34" i="10" a="1"/>
  <c r="C34" i="10" s="1"/>
  <c r="C35" i="10" a="1"/>
  <c r="C35" i="10" s="1"/>
  <c r="C36" i="10" a="1"/>
  <c r="C36" i="10" s="1"/>
  <c r="C37" i="10" a="1"/>
  <c r="C37" i="10" s="1"/>
  <c r="C38" i="10" a="1"/>
  <c r="C38" i="10" s="1"/>
  <c r="C39" i="10" a="1"/>
  <c r="C39" i="10" s="1"/>
  <c r="C40" i="10" a="1"/>
  <c r="C40" i="10" s="1"/>
  <c r="C41" i="10" a="1"/>
  <c r="C41" i="10" s="1"/>
  <c r="D8" i="11"/>
  <c r="D5" i="11"/>
  <c r="D7" i="11" s="1"/>
  <c r="D11" i="11" s="1"/>
  <c r="H5" i="7"/>
  <c r="I5" i="7" s="1"/>
  <c r="J5" i="7" s="1"/>
  <c r="K5" i="7" s="1"/>
  <c r="L5" i="7" s="1"/>
  <c r="M5" i="7" s="1"/>
  <c r="N5" i="7" s="1"/>
  <c r="O5" i="7" s="1"/>
  <c r="P5" i="7" s="1"/>
  <c r="Q5" i="7" s="1"/>
  <c r="R5" i="7" s="1"/>
  <c r="S5" i="7" s="1"/>
  <c r="T5" i="7" s="1"/>
  <c r="U5" i="7" s="1"/>
  <c r="V5" i="7" s="1"/>
  <c r="W5" i="7" s="1"/>
  <c r="X5" i="7" s="1"/>
  <c r="Y5" i="7" s="1"/>
  <c r="Z5" i="7" s="1"/>
  <c r="AA5" i="7" s="1"/>
  <c r="AB5" i="7" s="1"/>
  <c r="AC5" i="7" s="1"/>
  <c r="AD5" i="7" s="1"/>
  <c r="AE5" i="7" s="1"/>
  <c r="AF5" i="7" s="1"/>
  <c r="AG5" i="7" s="1"/>
  <c r="AH5" i="7" s="1"/>
  <c r="AI5" i="7" s="1"/>
  <c r="AJ5" i="7" s="1"/>
  <c r="AK5" i="7" s="1"/>
  <c r="AL5" i="7" s="1"/>
  <c r="AM5" i="7" s="1"/>
  <c r="AN5" i="7" s="1"/>
  <c r="AO5" i="7" s="1"/>
  <c r="AP5" i="7" s="1"/>
  <c r="AQ5" i="7" s="1"/>
  <c r="AR5" i="7" s="1"/>
  <c r="AS5" i="7" s="1"/>
  <c r="AT5" i="7" s="1"/>
  <c r="AU5" i="7" s="1"/>
  <c r="AV5" i="7" s="1"/>
  <c r="D5" i="7"/>
  <c r="H4" i="7"/>
  <c r="I4" i="7" s="1"/>
  <c r="J4" i="7" s="1"/>
  <c r="K4" i="7" s="1"/>
  <c r="L4" i="7" s="1"/>
  <c r="M4" i="7" s="1"/>
  <c r="N4" i="7" s="1"/>
  <c r="O4" i="7" s="1"/>
  <c r="P4" i="7" s="1"/>
  <c r="Q4" i="7" s="1"/>
  <c r="R4" i="7" s="1"/>
  <c r="S4" i="7" s="1"/>
  <c r="T4" i="7" s="1"/>
  <c r="U4" i="7" s="1"/>
  <c r="V4" i="7" s="1"/>
  <c r="W4" i="7" s="1"/>
  <c r="X4" i="7" s="1"/>
  <c r="Y4" i="7" s="1"/>
  <c r="Z4" i="7" s="1"/>
  <c r="AA4" i="7" s="1"/>
  <c r="AB4" i="7" s="1"/>
  <c r="AC4" i="7" s="1"/>
  <c r="AD4" i="7" s="1"/>
  <c r="AE4" i="7" s="1"/>
  <c r="AF4" i="7" s="1"/>
  <c r="AG4" i="7" s="1"/>
  <c r="AH4" i="7" s="1"/>
  <c r="AI4" i="7" s="1"/>
  <c r="AJ4" i="7" s="1"/>
  <c r="AK4" i="7" s="1"/>
  <c r="AL4" i="7" s="1"/>
  <c r="AM4" i="7" s="1"/>
  <c r="AN4" i="7" s="1"/>
  <c r="AO4" i="7" s="1"/>
  <c r="AP4" i="7" s="1"/>
  <c r="AQ4" i="7" s="1"/>
  <c r="AR4" i="7" s="1"/>
  <c r="AS4" i="7" s="1"/>
  <c r="AT4" i="7" s="1"/>
  <c r="AU4" i="7" s="1"/>
  <c r="AV4" i="7" s="1"/>
  <c r="D4" i="7"/>
  <c r="H3" i="7"/>
  <c r="I3" i="7" s="1"/>
  <c r="J3" i="7" s="1"/>
  <c r="K3" i="7" s="1"/>
  <c r="L3" i="7" s="1"/>
  <c r="M3" i="7" s="1"/>
  <c r="N3" i="7" s="1"/>
  <c r="O3" i="7" s="1"/>
  <c r="P3" i="7" s="1"/>
  <c r="Q3" i="7" s="1"/>
  <c r="R3" i="7" s="1"/>
  <c r="S3" i="7" s="1"/>
  <c r="T3" i="7" s="1"/>
  <c r="U3" i="7" s="1"/>
  <c r="V3" i="7" s="1"/>
  <c r="W3" i="7" s="1"/>
  <c r="X3" i="7" s="1"/>
  <c r="Y3" i="7" s="1"/>
  <c r="Z3" i="7" s="1"/>
  <c r="AA3" i="7" s="1"/>
  <c r="AB3" i="7" s="1"/>
  <c r="AC3" i="7" s="1"/>
  <c r="AD3" i="7" s="1"/>
  <c r="AE3" i="7" s="1"/>
  <c r="AF3" i="7" s="1"/>
  <c r="AG3" i="7" s="1"/>
  <c r="AH3" i="7" s="1"/>
  <c r="AI3" i="7" s="1"/>
  <c r="AJ3" i="7" s="1"/>
  <c r="AK3" i="7" s="1"/>
  <c r="AL3" i="7" s="1"/>
  <c r="AM3" i="7" s="1"/>
  <c r="AN3" i="7" s="1"/>
  <c r="AO3" i="7" s="1"/>
  <c r="AP3" i="7" s="1"/>
  <c r="AQ3" i="7" s="1"/>
  <c r="AR3" i="7" s="1"/>
  <c r="AS3" i="7" s="1"/>
  <c r="AT3" i="7" s="1"/>
  <c r="AU3" i="7" s="1"/>
  <c r="AV3" i="7" s="1"/>
  <c r="D3" i="7"/>
  <c r="C7" i="1"/>
  <c r="D8" i="9"/>
  <c r="D7" i="9"/>
  <c r="D5" i="9"/>
  <c r="D20" i="2"/>
  <c r="C20" i="2"/>
  <c r="D19" i="2"/>
  <c r="C19" i="2"/>
  <c r="C17" i="2"/>
  <c r="C16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C14" i="2"/>
  <c r="E13" i="2"/>
  <c r="D13" i="2"/>
  <c r="C13" i="2"/>
  <c r="D12" i="2"/>
  <c r="C12" i="2"/>
  <c r="D11" i="2"/>
  <c r="C11" i="2"/>
  <c r="M10" i="2"/>
  <c r="D10" i="2"/>
  <c r="C10" i="2"/>
  <c r="D7" i="2"/>
  <c r="E7" i="2" s="1"/>
  <c r="F6" i="2"/>
  <c r="G6" i="2" s="1"/>
  <c r="E6" i="2"/>
  <c r="D6" i="2"/>
  <c r="E5" i="2"/>
  <c r="E12" i="2" s="1"/>
  <c r="D5" i="2"/>
  <c r="D4" i="2"/>
  <c r="E4" i="2" s="1"/>
  <c r="N3" i="2"/>
  <c r="E3" i="2"/>
  <c r="D3" i="2"/>
  <c r="G13" i="2" l="1"/>
  <c r="H6" i="2"/>
  <c r="E11" i="2"/>
  <c r="F4" i="2"/>
  <c r="E19" i="2"/>
  <c r="E20" i="2"/>
  <c r="F7" i="2"/>
  <c r="E14" i="2"/>
  <c r="E10" i="2"/>
  <c r="F3" i="2"/>
  <c r="E16" i="2"/>
  <c r="D16" i="2"/>
  <c r="D11" i="9"/>
  <c r="F13" i="2"/>
  <c r="N10" i="2"/>
  <c r="O3" i="2"/>
  <c r="F5" i="2"/>
  <c r="D14" i="2"/>
  <c r="F14" i="2" l="1"/>
  <c r="G7" i="2"/>
  <c r="P3" i="2"/>
  <c r="O10" i="2"/>
  <c r="D17" i="2"/>
  <c r="D18" i="2"/>
  <c r="F11" i="2"/>
  <c r="F20" i="2"/>
  <c r="G4" i="2"/>
  <c r="E17" i="2"/>
  <c r="E18" i="2"/>
  <c r="G5" i="2"/>
  <c r="F12" i="2"/>
  <c r="F10" i="2"/>
  <c r="G3" i="2"/>
  <c r="F19" i="2"/>
  <c r="F16" i="2"/>
  <c r="H13" i="2"/>
  <c r="I6" i="2"/>
  <c r="G12" i="2" l="1"/>
  <c r="H5" i="2"/>
  <c r="I13" i="2"/>
  <c r="J6" i="2"/>
  <c r="F18" i="2"/>
  <c r="F17" i="2"/>
  <c r="G11" i="2"/>
  <c r="H4" i="2"/>
  <c r="G20" i="2"/>
  <c r="Q3" i="2"/>
  <c r="P10" i="2"/>
  <c r="G14" i="2"/>
  <c r="H7" i="2"/>
  <c r="H3" i="2"/>
  <c r="G16" i="2"/>
  <c r="G19" i="2"/>
  <c r="G10" i="2"/>
  <c r="I3" i="2" l="1"/>
  <c r="H16" i="2"/>
  <c r="H19" i="2"/>
  <c r="H10" i="2"/>
  <c r="H11" i="2"/>
  <c r="I4" i="2"/>
  <c r="H20" i="2"/>
  <c r="I7" i="2"/>
  <c r="H14" i="2"/>
  <c r="J13" i="2"/>
  <c r="K6" i="2"/>
  <c r="R3" i="2"/>
  <c r="H12" i="2"/>
  <c r="I5" i="2"/>
  <c r="G17" i="2"/>
  <c r="G18" i="2"/>
  <c r="I12" i="2" l="1"/>
  <c r="J5" i="2"/>
  <c r="I14" i="2"/>
  <c r="J7" i="2"/>
  <c r="J4" i="2"/>
  <c r="I20" i="2"/>
  <c r="I11" i="2"/>
  <c r="K13" i="2"/>
  <c r="L6" i="2"/>
  <c r="H17" i="2"/>
  <c r="H18" i="2"/>
  <c r="I16" i="2"/>
  <c r="I19" i="2"/>
  <c r="I10" i="2"/>
  <c r="J3" i="2"/>
  <c r="I17" i="2" l="1"/>
  <c r="I18" i="2"/>
  <c r="K4" i="2"/>
  <c r="J20" i="2"/>
  <c r="J11" i="2"/>
  <c r="K7" i="2"/>
  <c r="J14" i="2"/>
  <c r="L13" i="2"/>
  <c r="M6" i="2"/>
  <c r="J12" i="2"/>
  <c r="K5" i="2"/>
  <c r="J16" i="2"/>
  <c r="J19" i="2"/>
  <c r="J10" i="2"/>
  <c r="K3" i="2"/>
  <c r="L7" i="2" l="1"/>
  <c r="K14" i="2"/>
  <c r="J17" i="2"/>
  <c r="J18" i="2"/>
  <c r="L5" i="2"/>
  <c r="K12" i="2"/>
  <c r="K20" i="2"/>
  <c r="K11" i="2"/>
  <c r="L4" i="2"/>
  <c r="K19" i="2"/>
  <c r="K10" i="2"/>
  <c r="L3" i="2"/>
  <c r="K16" i="2"/>
  <c r="N6" i="2"/>
  <c r="M13" i="2"/>
  <c r="O6" i="2" l="1"/>
  <c r="N13" i="2"/>
  <c r="M5" i="2"/>
  <c r="L12" i="2"/>
  <c r="K18" i="2"/>
  <c r="K17" i="2"/>
  <c r="L10" i="2"/>
  <c r="L16" i="2"/>
  <c r="L19" i="2"/>
  <c r="L20" i="2"/>
  <c r="L11" i="2"/>
  <c r="M4" i="2"/>
  <c r="M7" i="2"/>
  <c r="L14" i="2"/>
  <c r="M11" i="2" l="1"/>
  <c r="M16" i="2"/>
  <c r="N4" i="2"/>
  <c r="M19" i="2"/>
  <c r="M20" i="2"/>
  <c r="L18" i="2"/>
  <c r="L17" i="2"/>
  <c r="N7" i="2"/>
  <c r="M14" i="2"/>
  <c r="M12" i="2"/>
  <c r="N5" i="2"/>
  <c r="O13" i="2"/>
  <c r="P6" i="2"/>
  <c r="N14" i="2" l="1"/>
  <c r="O7" i="2"/>
  <c r="Q6" i="2"/>
  <c r="R6" i="2" s="1"/>
  <c r="P13" i="2"/>
  <c r="O5" i="2"/>
  <c r="N12" i="2"/>
  <c r="N11" i="2"/>
  <c r="N20" i="2"/>
  <c r="O4" i="2"/>
  <c r="N19" i="2"/>
  <c r="N16" i="2"/>
  <c r="M17" i="2"/>
  <c r="M18" i="2"/>
  <c r="O12" i="2" l="1"/>
  <c r="P5" i="2"/>
  <c r="O14" i="2"/>
  <c r="P7" i="2"/>
  <c r="N18" i="2"/>
  <c r="N17" i="2"/>
  <c r="O11" i="2"/>
  <c r="P4" i="2"/>
  <c r="O20" i="2"/>
  <c r="O16" i="2"/>
  <c r="O19" i="2"/>
  <c r="Q7" i="2" l="1"/>
  <c r="R7" i="2" s="1"/>
  <c r="P14" i="2"/>
  <c r="O17" i="2"/>
  <c r="O18" i="2"/>
  <c r="P11" i="2"/>
  <c r="Q4" i="2"/>
  <c r="P20" i="2"/>
  <c r="P16" i="2"/>
  <c r="P19" i="2"/>
  <c r="P12" i="2"/>
  <c r="Q5" i="2"/>
  <c r="R5" i="2" s="1"/>
  <c r="P17" i="2" l="1"/>
  <c r="P18" i="2"/>
  <c r="R4" i="2"/>
  <c r="Q20" i="2"/>
  <c r="Q16" i="2"/>
  <c r="Q19" i="2"/>
  <c r="Q17" i="2" l="1"/>
  <c r="Q18" i="2"/>
  <c r="R20" i="2"/>
  <c r="R19" i="2"/>
  <c r="R16" i="2"/>
  <c r="R17" i="2" l="1"/>
  <c r="R1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<sst xmlns="http://schemas.openxmlformats.org/spreadsheetml/2006/main" count="661" uniqueCount="359">
  <si>
    <t>Account Type</t>
  </si>
  <si>
    <t>Account Type Group</t>
  </si>
  <si>
    <t>Brokerage</t>
  </si>
  <si>
    <t>Trust</t>
  </si>
  <si>
    <t>Custodial (UTMA/UGMA)</t>
  </si>
  <si>
    <t>Traditional IRA</t>
  </si>
  <si>
    <t>Retirement</t>
  </si>
  <si>
    <t>Roth IRA</t>
  </si>
  <si>
    <t>Traditional 401k</t>
  </si>
  <si>
    <t>Roth 401k</t>
  </si>
  <si>
    <t>403b</t>
  </si>
  <si>
    <t>SEP-IRA</t>
  </si>
  <si>
    <t>SIMPLE IRA</t>
  </si>
  <si>
    <t>Inherited IRA</t>
  </si>
  <si>
    <t>Pension</t>
  </si>
  <si>
    <t>HSA</t>
  </si>
  <si>
    <t>ESA</t>
  </si>
  <si>
    <t>Coverdell</t>
  </si>
  <si>
    <t>RSU</t>
  </si>
  <si>
    <t>Account</t>
  </si>
  <si>
    <t>Owner</t>
  </si>
  <si>
    <t>XX123</t>
  </si>
  <si>
    <t>Drew</t>
  </si>
  <si>
    <t>XX456</t>
  </si>
  <si>
    <t>Shaun</t>
  </si>
  <si>
    <t>XX789</t>
  </si>
  <si>
    <t>Jackson</t>
  </si>
  <si>
    <t>I captured data at month end balances</t>
  </si>
  <si>
    <t>Mortgage</t>
  </si>
  <si>
    <t>Savings, Checking, CDs</t>
  </si>
  <si>
    <t>RSUs</t>
  </si>
  <si>
    <t>Assets</t>
  </si>
  <si>
    <t>ESAs</t>
  </si>
  <si>
    <t>Loans R12 Detla</t>
  </si>
  <si>
    <t>Cash R12 Detla</t>
  </si>
  <si>
    <t>Stocks R12 Detla</t>
  </si>
  <si>
    <t>RSUs, R12 Detla</t>
  </si>
  <si>
    <t>Retirement, R12 Detla</t>
  </si>
  <si>
    <t>College, R12 Detla</t>
  </si>
  <si>
    <t>NET WORTH</t>
  </si>
  <si>
    <t>R12 NET WORTH Delta</t>
  </si>
  <si>
    <t>MoM</t>
  </si>
  <si>
    <t>DEBT RATIO</t>
  </si>
  <si>
    <t>CASH / INVESTMENT</t>
  </si>
  <si>
    <t>Source</t>
  </si>
  <si>
    <t>Target</t>
  </si>
  <si>
    <t>Value</t>
  </si>
  <si>
    <t>Net Salary</t>
  </si>
  <si>
    <t>Emergency '25</t>
  </si>
  <si>
    <t>Emergency '26</t>
  </si>
  <si>
    <t>Net Bonus</t>
  </si>
  <si>
    <t>Savings '25</t>
  </si>
  <si>
    <t>Savings '26</t>
  </si>
  <si>
    <t>Non-Discretionary Spending</t>
  </si>
  <si>
    <t>Kids</t>
  </si>
  <si>
    <t>Discretionary Spending</t>
  </si>
  <si>
    <t>Education</t>
  </si>
  <si>
    <t>Travel</t>
  </si>
  <si>
    <t>Investing</t>
  </si>
  <si>
    <t>Whatever We Want</t>
  </si>
  <si>
    <t>Property</t>
  </si>
  <si>
    <t>&lt;Your Address&gt;</t>
  </si>
  <si>
    <t>Principal</t>
  </si>
  <si>
    <t>Origination Date</t>
  </si>
  <si>
    <t>Term in years</t>
  </si>
  <si>
    <t>Rate</t>
  </si>
  <si>
    <t>Payment</t>
  </si>
  <si>
    <t>Lila's first year of college</t>
  </si>
  <si>
    <t>Estimated last semester in college</t>
  </si>
  <si>
    <t>Lila's last semester</t>
  </si>
  <si>
    <t>Etta's first semester</t>
  </si>
  <si>
    <t>Etta's last semester</t>
  </si>
  <si>
    <t>Child</t>
  </si>
  <si>
    <t>Estimated Tuition per Year</t>
  </si>
  <si>
    <t>Remaining Tuition</t>
  </si>
  <si>
    <t>College Start Date</t>
  </si>
  <si>
    <t>Monthly Contribution</t>
  </si>
  <si>
    <t>Kid 1</t>
  </si>
  <si>
    <t>Kid 2</t>
  </si>
  <si>
    <t>Kid 3</t>
  </si>
  <si>
    <t>Transaction</t>
  </si>
  <si>
    <t>Symbol</t>
  </si>
  <si>
    <t>Security Description</t>
  </si>
  <si>
    <t>Date Acquired</t>
  </si>
  <si>
    <t>Shares Bought</t>
  </si>
  <si>
    <t>Cost Basis Per Share</t>
  </si>
  <si>
    <t>Date Sold</t>
  </si>
  <si>
    <t>Charitable Donation</t>
  </si>
  <si>
    <t>Shares Sold</t>
  </si>
  <si>
    <t>Sell Basis Per Share</t>
  </si>
  <si>
    <t>AAPL</t>
  </si>
  <si>
    <t/>
  </si>
  <si>
    <t>Yes</t>
  </si>
  <si>
    <t>ABNB</t>
  </si>
  <si>
    <t>AMZN</t>
  </si>
  <si>
    <t>Scenario 1</t>
  </si>
  <si>
    <t>Stop Working</t>
  </si>
  <si>
    <t>Benefit Commencement</t>
  </si>
  <si>
    <t>Contemporary Benefit</t>
  </si>
  <si>
    <t>Beneficiary</t>
  </si>
  <si>
    <t>Spouse</t>
  </si>
  <si>
    <t>Beneficiary Date of Birth</t>
  </si>
  <si>
    <t>Salary Increase Percent</t>
  </si>
  <si>
    <t>Short Term Incentive Percent</t>
  </si>
  <si>
    <t>My Date of Birth</t>
  </si>
  <si>
    <t>Contemporary Benefit Options</t>
  </si>
  <si>
    <t>You</t>
  </si>
  <si>
    <t>Surviving Beneficiary</t>
  </si>
  <si>
    <t>Lump Sum</t>
  </si>
  <si>
    <t>One-time</t>
  </si>
  <si>
    <t>When</t>
  </si>
  <si>
    <t>Single Life Annuity</t>
  </si>
  <si>
    <t>Benefit</t>
  </si>
  <si>
    <t>Monthly</t>
  </si>
  <si>
    <t>Social Security Offset with Single Life Annuity</t>
  </si>
  <si>
    <t>Starting benefit</t>
  </si>
  <si>
    <t>Leveling Amount</t>
  </si>
  <si>
    <t>55% Joint &amp; Survivor Annuity with Pop-Up</t>
  </si>
  <si>
    <t>Social Security Offset with 55% Joint &amp; Survivor Annuity with Pop-Up</t>
  </si>
  <si>
    <t>75% Joint &amp; Survivor Annuity with Pop-Up</t>
  </si>
  <si>
    <t>Social Security Offset with 75% Joint &amp; Survivor Annuity with Pop-Up</t>
  </si>
  <si>
    <t>Senior Supplementary Benefit</t>
  </si>
  <si>
    <t>APPLE INC</t>
  </si>
  <si>
    <t>ABBV</t>
  </si>
  <si>
    <t>ABBVIE INC COM</t>
  </si>
  <si>
    <t>AIRBNB INC COM CL A</t>
  </si>
  <si>
    <t>ACN</t>
  </si>
  <si>
    <t>ACCENTURE PLC</t>
  </si>
  <si>
    <t>ADBE</t>
  </si>
  <si>
    <t>ADOBE SYSTEMS INCORPORATED COM</t>
  </si>
  <si>
    <t>AI</t>
  </si>
  <si>
    <t>C3 AI INC CL A</t>
  </si>
  <si>
    <t>AMD</t>
  </si>
  <si>
    <t>ADVANCED MICRO DEVICES INC</t>
  </si>
  <si>
    <t>AMAZON.COM INC</t>
  </si>
  <si>
    <t>ANET</t>
  </si>
  <si>
    <t>ARISTA NETWORKS INC COM USD0.0001</t>
  </si>
  <si>
    <t>APPN</t>
  </si>
  <si>
    <t>APPIAN CORP CL A</t>
  </si>
  <si>
    <t>ASAN</t>
  </si>
  <si>
    <t>ASANA INC CL A</t>
  </si>
  <si>
    <t>ASML</t>
  </si>
  <si>
    <t>ASML HOLDING NV EUR0.09 NY REGISTRY SHS 2012</t>
  </si>
  <si>
    <t>ATVI</t>
  </si>
  <si>
    <t>ACTIVISION BLIZZARD INC COM</t>
  </si>
  <si>
    <t>BBIO</t>
  </si>
  <si>
    <t>BRIDGEBIO PHARMA INC COM</t>
  </si>
  <si>
    <t>BKNG</t>
  </si>
  <si>
    <t>BOOKING HOLDINGS INCCOM</t>
  </si>
  <si>
    <t>BOOKING HOLDINGS INC COM</t>
  </si>
  <si>
    <t>BLK</t>
  </si>
  <si>
    <t>BLACKROCK INC COM</t>
  </si>
  <si>
    <t>BRKB</t>
  </si>
  <si>
    <t>BERKSHIRE HATHAWAY INC COM USD0.0033 CLASS B</t>
  </si>
  <si>
    <t>BTC-USD</t>
  </si>
  <si>
    <t>Bitcoin</t>
  </si>
  <si>
    <t>CART</t>
  </si>
  <si>
    <t>MAPLEBEAR INC COM</t>
  </si>
  <si>
    <t>CASY</t>
  </si>
  <si>
    <t>CASEYS GENERAL STORES INC</t>
  </si>
  <si>
    <t>CAVA</t>
  </si>
  <si>
    <t>CAVA GROUP INC COM</t>
  </si>
  <si>
    <t>CELH</t>
  </si>
  <si>
    <t>CELSIUS HLDGS INC COM NEW</t>
  </si>
  <si>
    <t>CGNX</t>
  </si>
  <si>
    <t>COGNEX CORP COM</t>
  </si>
  <si>
    <t>CHGG</t>
  </si>
  <si>
    <t>CHEGG INC COM</t>
  </si>
  <si>
    <t>CMG</t>
  </si>
  <si>
    <t>CHIPOTLE MEXICAN GRILL INC</t>
  </si>
  <si>
    <t>COST</t>
  </si>
  <si>
    <t>COSTCO WHOLESALE CORP COM USD0.01</t>
  </si>
  <si>
    <t>CRM</t>
  </si>
  <si>
    <t>SALESFORCE.COM INC COM USD0.001</t>
  </si>
  <si>
    <t>CRTO</t>
  </si>
  <si>
    <t>CRITEO ADR REP ORD</t>
  </si>
  <si>
    <t>CRWD</t>
  </si>
  <si>
    <t>CROWDSTRIKE HLDGS INC CL A</t>
  </si>
  <si>
    <t>DASH</t>
  </si>
  <si>
    <t>DOORDASH INC CL A</t>
  </si>
  <si>
    <t>DASTY</t>
  </si>
  <si>
    <t>DASSAULT SYSTEMES SPON ADR EACH REP 1 ORD SHS</t>
  </si>
  <si>
    <t>DDD</t>
  </si>
  <si>
    <t>3 D SYSTEMS INC COM USD0.001</t>
  </si>
  <si>
    <t>DDOG</t>
  </si>
  <si>
    <t>DATADOG INC CL A COM</t>
  </si>
  <si>
    <t>DE</t>
  </si>
  <si>
    <t>DEERE &amp; CO</t>
  </si>
  <si>
    <t>DIS</t>
  </si>
  <si>
    <t>DISNEY WALT CO COM</t>
  </si>
  <si>
    <t>DOCN</t>
  </si>
  <si>
    <t>DIGITALOCEAN HLDGS INC COM</t>
  </si>
  <si>
    <t>DOCS</t>
  </si>
  <si>
    <t>Doximity</t>
  </si>
  <si>
    <t>DOCU</t>
  </si>
  <si>
    <t>DOCUSIGN INC COM</t>
  </si>
  <si>
    <t>DUOL</t>
  </si>
  <si>
    <t>DUOLINGO INC CL A COM</t>
  </si>
  <si>
    <t>EBAY</t>
  </si>
  <si>
    <t>EBAY INC. COM</t>
  </si>
  <si>
    <t>ESTC</t>
  </si>
  <si>
    <t>ELASTIC N V COM EUR0.01</t>
  </si>
  <si>
    <t>ETH-USD</t>
  </si>
  <si>
    <t>Euthereum</t>
  </si>
  <si>
    <t>FB</t>
  </si>
  <si>
    <t>FACEBOOK INC-CLASS A</t>
  </si>
  <si>
    <t>FTEC</t>
  </si>
  <si>
    <t>FIDELITY MSCI INFORMATION TECHNOLOGY INDEX ETF</t>
  </si>
  <si>
    <t>FTNT</t>
  </si>
  <si>
    <t>FORTINET INC COM</t>
  </si>
  <si>
    <t>FVRR</t>
  </si>
  <si>
    <t>FIVERR INTERNATIONAL LTD COM NPV</t>
  </si>
  <si>
    <t>GMED</t>
  </si>
  <si>
    <t>GLOBUS MEDICAL INC</t>
  </si>
  <si>
    <t>GOOG</t>
  </si>
  <si>
    <t>ALPHABET INC CAP STKCL C</t>
  </si>
  <si>
    <t>ALPHABET INC CAP STK CL C</t>
  </si>
  <si>
    <t>HAIN</t>
  </si>
  <si>
    <t>HAIN CELESTIAL GROUPINC</t>
  </si>
  <si>
    <t>HD</t>
  </si>
  <si>
    <t>HOME DEPOT INC</t>
  </si>
  <si>
    <t>HSY</t>
  </si>
  <si>
    <t>HERSHEY COMPANY COM USD1.00</t>
  </si>
  <si>
    <t>HUBS</t>
  </si>
  <si>
    <t>HUBSPOT INC</t>
  </si>
  <si>
    <t>INTC</t>
  </si>
  <si>
    <t>INTEL CORP COM</t>
  </si>
  <si>
    <t>ISRG</t>
  </si>
  <si>
    <t>Intuitive Surgical</t>
  </si>
  <si>
    <t>JPM</t>
  </si>
  <si>
    <t>JPMORGAN CHASE &amp;CO. COM</t>
  </si>
  <si>
    <t>KD</t>
  </si>
  <si>
    <t>KYNDRYL HLDGS INC COMMON STOCK</t>
  </si>
  <si>
    <t>KLAR</t>
  </si>
  <si>
    <t>KLARNA GROUP PLC</t>
  </si>
  <si>
    <t>KNSL</t>
  </si>
  <si>
    <t>KINSALE CAP GROUP INC COM</t>
  </si>
  <si>
    <t>LGF</t>
  </si>
  <si>
    <t>LIONS GATE ENTERTAINMENT CORP ISIN #CA5359192039 SEDOL #2753506 *REORGANIZATION*</t>
  </si>
  <si>
    <t>LMND</t>
  </si>
  <si>
    <t>LEMONADE INC COM</t>
  </si>
  <si>
    <t>LNKD</t>
  </si>
  <si>
    <t>LINKEDIN CORP COM USD0.0001 ISIN #US53578A1088 SEDOL #BLWDMP2</t>
  </si>
  <si>
    <t>LULU</t>
  </si>
  <si>
    <t>LULULEMON ATHLETICA INC COM USD0.005</t>
  </si>
  <si>
    <t>MDB</t>
  </si>
  <si>
    <t>MONGODB INC CL A</t>
  </si>
  <si>
    <t>MELI</t>
  </si>
  <si>
    <t>MERCADOLIBRE INC COM USD0.001</t>
  </si>
  <si>
    <t>META</t>
  </si>
  <si>
    <t>MRVL</t>
  </si>
  <si>
    <t>MARVELL TECHNOLOGY INC COM</t>
  </si>
  <si>
    <t>MSFT</t>
  </si>
  <si>
    <t>MICROSOFT CORP</t>
  </si>
  <si>
    <t>MTCH</t>
  </si>
  <si>
    <t>MATCH GROUP INC NEW COM</t>
  </si>
  <si>
    <t>MTN</t>
  </si>
  <si>
    <t>VAIL RESORTS INC</t>
  </si>
  <si>
    <t>NCR</t>
  </si>
  <si>
    <t>NCR CORP</t>
  </si>
  <si>
    <t>NET</t>
  </si>
  <si>
    <t>Cloudflare Inc CL A COM</t>
  </si>
  <si>
    <t>NFLX</t>
  </si>
  <si>
    <t>NETFLIX INC</t>
  </si>
  <si>
    <t>NKE</t>
  </si>
  <si>
    <t>NIKE INC CLASS B COMNPV</t>
  </si>
  <si>
    <t>NIKE INC CLASS B COM NPV</t>
  </si>
  <si>
    <t>NVDA</t>
  </si>
  <si>
    <t>NVIDIA CORPORATION COM</t>
  </si>
  <si>
    <t>OKTA</t>
  </si>
  <si>
    <t>OKTA INC CL A</t>
  </si>
  <si>
    <t>PATH</t>
  </si>
  <si>
    <t>UIPATH INC CL A</t>
  </si>
  <si>
    <t>PAYC</t>
  </si>
  <si>
    <t>PAYCOM SOFTWARE INC COM USD0.01</t>
  </si>
  <si>
    <t>PEP</t>
  </si>
  <si>
    <t>PEPSICO INC</t>
  </si>
  <si>
    <t>PINS</t>
  </si>
  <si>
    <t>PINTEREST INC CL A</t>
  </si>
  <si>
    <t>PLD</t>
  </si>
  <si>
    <t>PROLOGIS INC. COM</t>
  </si>
  <si>
    <t>PYPL</t>
  </si>
  <si>
    <t>PAYPAL HLDGS INC COM</t>
  </si>
  <si>
    <t>RBLX</t>
  </si>
  <si>
    <t>ROBLOX CORP CL A</t>
  </si>
  <si>
    <t>ROKU</t>
  </si>
  <si>
    <t>ROKU INC COM CL A</t>
  </si>
  <si>
    <t>RSP</t>
  </si>
  <si>
    <t>INVESCO EXCHANGE TRADED FD TR S&amp;P500 EQL WGT</t>
  </si>
  <si>
    <t>SBUX</t>
  </si>
  <si>
    <t>STARBUCKS CORP COM USD0.001</t>
  </si>
  <si>
    <t>SCHD</t>
  </si>
  <si>
    <t>SCHWAB US DIVIDEND EQUITY ETF</t>
  </si>
  <si>
    <t>SFIX</t>
  </si>
  <si>
    <t>STITCH FIX INC COM CL A</t>
  </si>
  <si>
    <t>SHOP</t>
  </si>
  <si>
    <t>SHOPIFY INC COM NPV CL A ISIN #CA82509L1076 SEDOL #BX865C7</t>
  </si>
  <si>
    <t>SHW</t>
  </si>
  <si>
    <t>SHERWIN-WILLIAMS CO</t>
  </si>
  <si>
    <t>SNOW</t>
  </si>
  <si>
    <t>SNOWFLAKE INC CL A</t>
  </si>
  <si>
    <t>SPOT</t>
  </si>
  <si>
    <t>SPOTIFY TECHNOLOGY S.A. COM EUR0.000625</t>
  </si>
  <si>
    <t>SSYS</t>
  </si>
  <si>
    <t>STRATASYS LTD</t>
  </si>
  <si>
    <t>SWIR</t>
  </si>
  <si>
    <t>SIERRA WIRELESS INC COM ISIN #CA8265161064 SEDOL #2418968</t>
  </si>
  <si>
    <t>TEAM</t>
  </si>
  <si>
    <t>ATLASSIAN CORPORATION PLC COM USD0.1 CL</t>
  </si>
  <si>
    <t>TLND</t>
  </si>
  <si>
    <t>TALEND SA SPON ADS EACH REP 1 ORD SHS</t>
  </si>
  <si>
    <t>TOST</t>
  </si>
  <si>
    <t>TOAST INC CL A</t>
  </si>
  <si>
    <t>TSLA</t>
  </si>
  <si>
    <t>TESLA INC COM</t>
  </si>
  <si>
    <t>TTD</t>
  </si>
  <si>
    <t>THE TRADE DESK INC COM CL A</t>
  </si>
  <si>
    <t>TTWO</t>
  </si>
  <si>
    <t>TAKE-TWO INTERACTIVE SOFTWARE INC</t>
  </si>
  <si>
    <t>TWLO</t>
  </si>
  <si>
    <t>TWILIO INC CL A</t>
  </si>
  <si>
    <t>U</t>
  </si>
  <si>
    <t>UNITY SOFTWARE INC COM</t>
  </si>
  <si>
    <t>UA</t>
  </si>
  <si>
    <t>UNDER ARMOUR INC CL C</t>
  </si>
  <si>
    <t>UAA</t>
  </si>
  <si>
    <t>UNDER ARMOUR INC COMSTK USD0.000333 CLASS A</t>
  </si>
  <si>
    <t>UPST</t>
  </si>
  <si>
    <t>UPSTART HLDGS INC COM</t>
  </si>
  <si>
    <t>VIG</t>
  </si>
  <si>
    <t>VANGUARD SPECIALIZED FUNDS DIV APP ETF</t>
  </si>
  <si>
    <t>VNQ</t>
  </si>
  <si>
    <t>VANGUARD REAL ESTATE ETF</t>
  </si>
  <si>
    <t>VOO</t>
  </si>
  <si>
    <t>VANGUARD INDEX FUNDS S&amp;P 500 ETF USD</t>
  </si>
  <si>
    <t>VTI</t>
  </si>
  <si>
    <t>VANGUARD INDEX FDS VANGUARD TOTAL STK MKT ETF</t>
  </si>
  <si>
    <t>WD</t>
  </si>
  <si>
    <t>WALKER &amp; DUNLOP INC COM</t>
  </si>
  <si>
    <t>WEX</t>
  </si>
  <si>
    <t>WEX INC</t>
  </si>
  <si>
    <t>WFM</t>
  </si>
  <si>
    <t>WHOLE FOODS MARKET INC COM STK NPV *CASH MERGER AT $42.00 PER SHARE*</t>
  </si>
  <si>
    <t>XYZ</t>
  </si>
  <si>
    <t>SQUARE INC CL A</t>
  </si>
  <si>
    <t>ZAYO</t>
  </si>
  <si>
    <t>ZAYO GROUP HOLDINGS INC COM USD0.001 *CASH MERGER AT $35.00*</t>
  </si>
  <si>
    <t>ZI</t>
  </si>
  <si>
    <t>ZOOMINFO TECHNOLOGIES INC COM CL A</t>
  </si>
  <si>
    <t>ZM</t>
  </si>
  <si>
    <t>ZOOM VIDEO COMMUNICATIONS INC CL A</t>
  </si>
  <si>
    <t>ZNGA</t>
  </si>
  <si>
    <t>ZYNGA INC</t>
  </si>
  <si>
    <t>ZS</t>
  </si>
  <si>
    <t>ZSCALER INC COM</t>
  </si>
  <si>
    <t>Account Name</t>
  </si>
  <si>
    <t>Drew's Market</t>
  </si>
  <si>
    <t>Shaua's Retirement</t>
  </si>
  <si>
    <t>Jackson Health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</si>
</sst>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8" formatCode="&quot;$&quot;#,##0.00_);[Red]\(&quot;$&quot;#,##0.00\)"/>
    <numFmt numFmtId="44" formatCode="_(&quot;$&quot;* #,##0.00_);_(&quot;$&quot;* \(#,##0.00\);_(&quot;$&quot;* &quot;-&quot;??_);_(@_)"/>
    <numFmt numFmtId="164" formatCode="_(&quot;$&quot;* #,##0_);_(&quot;$&quot;* \(#,##0\);_(&quot;$&quot;* &quot;-&quot;??_);_(@_)"/>
    <numFmt numFmtId="165" formatCode="&quot;$&quot;#,##0"/>
    <numFmt numFmtId="166" formatCode="\$#,##0.00"/>
    <numFmt numFmtId="167" formatCode="\(\$#,##0.00\);\(\$#,##0.00\)"/>
    <numFmt numFmtId="168" formatCode="m/d/yy;@"/>
  </numFmts>
  <fonts count="17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3"/>
      <color theme="1"/>
      <name val="Helvetica"/>
      <family val="2"/>
    </font>
    <font>
      <sz val="12"/>
      <color theme="1"/>
      <name val="Calibri"/>
      <family val="2"/>
      <scheme val="minor"/>
    </font>
    <font>
      <b/>
      <sz val="10"/>
      <color rgb="FF000000"/>
      <name val="Helvetica Neue"/>
      <family val="2"/>
    </font>
    <font>
      <sz val="10"/>
      <color rgb="FF000000"/>
      <name val="Helvetica Neue"/>
      <family val="2"/>
    </font>
    <font>
      <sz val="10"/>
      <color theme="3" tint="0.24994659260841701"/>
      <name val="Calibri"/>
      <family val="2"/>
      <scheme val="minor"/>
    </font>
    <font>
      <i/>
      <sz val="10"/>
      <color theme="3" tint="0.24994659260841701"/>
      <name val="Calibri"/>
      <family val="1"/>
      <scheme val="minor"/>
    </font>
    <font>
      <sz val="10"/>
      <color theme="3" tint="0.24994659260841701"/>
      <name val="Calibri"/>
      <family val="1"/>
      <scheme val="minor"/>
    </font>
    <font>
      <b/>
      <i/>
      <sz val="10"/>
      <color theme="3" tint="0.24994659260841701"/>
      <name val="Calibri"/>
      <family val="1"/>
      <scheme val="minor"/>
    </font>
    <font>
      <b/>
      <sz val="10"/>
      <color theme="3" tint="0.24994659260841701"/>
      <name val="Calibri"/>
      <family val="1"/>
      <scheme val="minor"/>
    </font>
    <font>
      <sz val="10"/>
      <color rgb="FF60605E"/>
      <name val="Century Gothic"/>
      <family val="2"/>
    </font>
    <font>
      <b/>
      <sz val="10"/>
      <color rgb="FF60605E"/>
      <name val="Century Gothic"/>
      <family val="1"/>
    </font>
    <font>
      <sz val="10"/>
      <color rgb="FF60605E"/>
      <name val="Century Gothic"/>
      <family val="1"/>
    </font>
    <font>
      <b/>
      <sz val="10"/>
      <color rgb="FF000000"/>
      <name val="Arial"/>
      <family val="2"/>
    </font>
    <font>
      <sz val="14"/>
      <color rgb="FF000000"/>
      <name val="Arial"/>
      <family val="2"/>
    </font>
    <font>
      <sz val="10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thin">
        <color theme="6" tint="0.39997558519241921"/>
      </bottom>
      <diagonal/>
    </border>
    <border>
      <left style="thin">
        <color theme="6" tint="0.39997558519241921"/>
      </left>
      <right/>
      <top/>
      <bottom style="thin">
        <color theme="6" tint="0.39997558519241921"/>
      </bottom>
      <diagonal/>
    </border>
    <border>
      <left/>
      <right/>
      <top style="thin">
        <color theme="6" tint="0.39997558519241921"/>
      </top>
      <bottom style="thin">
        <color theme="6" tint="0.39997558519241921"/>
      </bottom>
      <diagonal/>
    </border>
    <border>
      <left/>
      <right/>
      <top style="thin">
        <color theme="6" tint="0.39997558519241921"/>
      </top>
      <bottom/>
      <diagonal/>
    </border>
    <border>
      <left/>
      <right/>
      <top/>
      <bottom style="thin">
        <color rgb="FFC4D79B"/>
      </bottom>
      <diagonal/>
    </border>
    <border>
      <left/>
      <right/>
      <top style="thin">
        <color rgb="FFC4D79B"/>
      </top>
      <bottom style="thin">
        <color rgb="FFC4D79B"/>
      </bottom>
      <diagonal/>
    </border>
    <border>
      <left/>
      <right/>
      <top style="thin">
        <color rgb="FFC4D79B"/>
      </top>
      <bottom/>
      <diagonal/>
    </border>
  </borders>
  <cellStyleXfs count="1">
    <xf numFmtId="0" fontId="0" fillId="0" borderId="0"/>
  </cellStyleXfs>
  <cellXfs count="71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1" xfId="0" applyFont="1" applyBorder="1" applyAlignment="1">
      <alignment wrapText="1"/>
    </xf>
    <xf numFmtId="0" fontId="4" fillId="0" borderId="2" xfId="0" applyFont="1" applyBorder="1" applyAlignment="1">
      <alignment wrapText="1"/>
    </xf>
    <xf numFmtId="0" fontId="5" fillId="0" borderId="3" xfId="0" applyFont="1" applyBorder="1"/>
    <xf numFmtId="0" fontId="5" fillId="0" borderId="0" xfId="0" applyFont="1"/>
    <xf numFmtId="0" fontId="5" fillId="0" borderId="4" xfId="0" applyFont="1" applyBorder="1"/>
    <xf numFmtId="0" fontId="6" fillId="0" borderId="0" xfId="0" applyFont="1"/>
    <xf numFmtId="0" fontId="7" fillId="0" borderId="0" xfId="0" applyFont="1"/>
    <xf numFmtId="14" fontId="6" fillId="0" borderId="0" xfId="0" applyNumberFormat="1" applyFont="1"/>
    <xf numFmtId="164" fontId="6" fillId="0" borderId="0" xfId="0" applyNumberFormat="1" applyFont="1"/>
    <xf numFmtId="164" fontId="8" fillId="0" borderId="0" xfId="0" applyNumberFormat="1" applyFont="1"/>
    <xf numFmtId="0" fontId="9" fillId="0" borderId="0" xfId="0" applyFont="1" applyAlignment="1">
      <alignment horizontal="left" indent="1"/>
    </xf>
    <xf numFmtId="164" fontId="9" fillId="0" borderId="0" xfId="0" applyNumberFormat="1" applyFont="1" applyAlignment="1">
      <alignment horizontal="left" indent="1"/>
    </xf>
    <xf numFmtId="0" fontId="10" fillId="0" borderId="0" xfId="0" applyFont="1"/>
    <xf numFmtId="164" fontId="10" fillId="0" borderId="0" xfId="0" applyNumberFormat="1" applyFont="1"/>
    <xf numFmtId="9" fontId="0" fillId="0" borderId="0" xfId="0" applyNumberFormat="1"/>
    <xf numFmtId="44" fontId="3" fillId="0" borderId="0" xfId="0" applyNumberFormat="1" applyFont="1"/>
    <xf numFmtId="165" fontId="3" fillId="0" borderId="0" xfId="0" applyNumberFormat="1" applyFont="1"/>
    <xf numFmtId="166" fontId="0" fillId="0" borderId="0" xfId="0" applyNumberFormat="1"/>
    <xf numFmtId="14" fontId="0" fillId="0" borderId="0" xfId="0" applyNumberFormat="1"/>
    <xf numFmtId="167" fontId="0" fillId="0" borderId="0" xfId="0" applyNumberFormat="1"/>
    <xf numFmtId="0" fontId="11" fillId="0" borderId="0" xfId="0" applyFont="1"/>
    <xf numFmtId="0" fontId="12" fillId="0" borderId="0" xfId="0" applyFont="1"/>
    <xf numFmtId="14" fontId="12" fillId="0" borderId="0" xfId="0" applyNumberFormat="1" applyFont="1"/>
    <xf numFmtId="164" fontId="11" fillId="0" borderId="0" xfId="0" applyNumberFormat="1" applyFont="1"/>
    <xf numFmtId="14" fontId="11" fillId="0" borderId="0" xfId="0" applyNumberFormat="1" applyFont="1"/>
    <xf numFmtId="164" fontId="13" fillId="0" borderId="0" xfId="0" applyNumberFormat="1" applyFont="1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left"/>
    </xf>
    <xf numFmtId="14" fontId="5" fillId="0" borderId="3" xfId="0" applyNumberFormat="1" applyFont="1" applyBorder="1"/>
    <xf numFmtId="8" fontId="0" fillId="0" borderId="0" xfId="0" applyNumberFormat="1"/>
    <xf numFmtId="168" fontId="5" fillId="0" borderId="0" xfId="0" applyNumberFormat="1" applyFont="1"/>
    <xf numFmtId="8" fontId="5" fillId="0" borderId="0" xfId="0" applyNumberFormat="1" applyFont="1"/>
    <xf numFmtId="14" fontId="5" fillId="0" borderId="0" xfId="0" applyNumberFormat="1" applyFont="1"/>
    <xf numFmtId="14" fontId="5" fillId="0" borderId="3" xfId="0" applyNumberFormat="1" applyFont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9" fontId="5" fillId="0" borderId="0" xfId="0" applyNumberFormat="1" applyFont="1"/>
    <xf numFmtId="0" fontId="0" fillId="0" borderId="0" xfId="0" applyAlignment="1">
      <alignment wrapText="1"/>
    </xf>
    <xf numFmtId="0" fontId="14" fillId="0" borderId="0" xfId="0" applyFont="1" applyAlignment="1">
      <alignment horizontal="center"/>
    </xf>
    <xf numFmtId="0" fontId="14" fillId="0" borderId="0" xfId="0" applyFont="1"/>
    <xf numFmtId="0" fontId="15" fillId="0" borderId="0" xfId="0" applyFont="1"/>
    <xf numFmtId="0" fontId="15" fillId="0" borderId="0" xfId="0" applyFont="1" applyAlignment="1">
      <alignment wrapText="1"/>
    </xf>
    <xf numFmtId="0" fontId="14" fillId="0" borderId="0" xfId="0" applyFont="1" applyAlignment="1">
      <alignment wrapText="1"/>
    </xf>
    <xf numFmtId="0" fontId="16" fillId="0" borderId="0" xfId="0" applyFont="1"/>
    <xf numFmtId="0" fontId="16" fillId="0" borderId="0" xfId="0" applyFont="1" applyAlignment="1">
      <alignment wrapText="1"/>
    </xf>
    <xf numFmtId="8" fontId="16" fillId="0" borderId="0" xfId="0" applyNumberFormat="1" applyFont="1"/>
    <xf numFmtId="44" fontId="16" fillId="0" borderId="0" xfId="0" applyNumberFormat="1" applyFont="1"/>
    <xf numFmtId="14" fontId="16" fillId="0" borderId="0" xfId="0" applyNumberFormat="1" applyFont="1" applyAlignment="1">
      <alignment wrapText="1"/>
    </xf>
    <xf numFmtId="0" fontId="4" fillId="0" borderId="5" xfId="0" applyFont="1" applyBorder="1" applyAlignment="1">
      <alignment wrapText="1"/>
    </xf>
    <xf numFmtId="0" fontId="5" fillId="0" borderId="6" xfId="0" applyFont="1" applyBorder="1"/>
    <xf numFmtId="0" fontId="0" fillId="0" borderId="6" xfId="0" applyBorder="1"/>
    <xf numFmtId="0" fontId="5" fillId="0" borderId="6" xfId="0" applyFont="1" applyBorder="1" applyAlignment="1">
      <alignment horizontal="left" vertical="center"/>
    </xf>
    <xf numFmtId="0" fontId="5" fillId="0" borderId="7" xfId="0" applyFont="1" applyBorder="1"/>
    <xf numFmtId="0" fontId="1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horizontal="left" wrapText="1"/>
    </xf>
    <xf numFmtId="0" fontId="5" fillId="0" borderId="0" xfId="0" applyNumberFormat="1" applyFont="1"/>
    <xf numFmtId="0" fontId="5" fillId="0" borderId="0" xfId="0" applyNumberFormat="1" applyFont="1" applyAlignment="1">
      <alignment horizontal="left"/>
    </xf>
    <xf numFmtId="0" fontId="5" fillId="0" borderId="0" xfId="0" applyNumberFormat="1" applyFont="1" applyBorder="1"/>
    <xf numFmtId="0" fontId="5" fillId="0" borderId="0" xfId="0" applyFont="1" applyBorder="1"/>
    <xf numFmtId="0" fontId="5" fillId="0" borderId="0" xfId="0" applyFont="1" applyBorder="1" applyAlignment="1">
      <alignment horizontal="center" vertical="center"/>
    </xf>
    <xf numFmtId="0" fontId="5" fillId="0" borderId="0" xfId="0" applyNumberFormat="1" applyFont="1" applyBorder="1" applyAlignment="1">
      <alignment horizontal="left"/>
    </xf>
    <xf numFmtId="8" fontId="5" fillId="0" borderId="0" xfId="0" applyNumberFormat="1" applyFont="1" applyBorder="1"/>
    <xf numFmtId="168" fontId="5" fillId="0" borderId="0" xfId="0" applyNumberFormat="1" applyFont="1" applyBorder="1"/>
    <xf numFmtId="9" fontId="5" fillId="0" borderId="0" xfId="0" applyNumberFormat="1" applyFont="1" applyBorder="1"/>
  </cellXfs>
  <cellStyles count="1">
    <cellStyle name="Normal" xfId="0" builtinId="0"/>
  </cellStyles>
  <dxfs count="1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numFmt numFmtId="13" formatCode="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numFmt numFmtId="168" formatCode="m/d/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numFmt numFmtId="19" formatCode="m/d/yy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6" tint="0.39997558519241921"/>
        </top>
        <bottom style="thin">
          <color theme="6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numFmt numFmtId="0" formatCode="General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border diagonalUp="0" diagonalDown="0">
        <left/>
        <right/>
        <top style="thin">
          <color theme="6" tint="0.39997558519241921"/>
        </top>
        <bottom style="thin">
          <color theme="6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3" displayName="Table3" ref="B2:C18" headerRowCount="0">
  <tableColumns count="2">
    <tableColumn id="1" xr3:uid="{00000000-0010-0000-0000-000001000000}" name="Account Type"/>
    <tableColumn id="2" xr3:uid="{00000000-0010-0000-0000-000002000000}" name="Account Type Group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25" displayName="Table25" ref="B2:E5" headerRowCount="0">
  <tableColumns count="4">
    <tableColumn id="1" xr3:uid="{00000000-0010-0000-0100-000001000000}" name="Account"/>
    <tableColumn id="2" xr3:uid="{00000000-0010-0000-0100-000002000000}" name="Account Type2"/>
    <tableColumn id="3" xr3:uid="{00000000-0010-0000-0100-000003000000}" name="Owner"/>
    <tableColumn id="4" xr3:uid="{C950A649-3BE5-1D49-9C22-1FC53E142931}" name="Column1" dataDxfId="15"/>
  </tableColumns>
  <tableStyleInfo name="TableStyleMedium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F681B6E-186E-AB4D-BAC2-437CAFDB7002}" name="Table4" displayName="Table4" ref="B2:N99" totalsRowShown="0" headerRowDxfId="14" dataDxfId="13">
  <autoFilter ref="B2:N99" xr:uid="{5F681B6E-186E-AB4D-BAC2-437CAFDB7002}"/>
  <tableColumns count="13">
    <tableColumn id="1" xr3:uid="{44ABB882-7907-0449-86C6-7D1EB2C6D90B}" name="Account" dataDxfId="12"/>
    <tableColumn id="2" xr3:uid="{EF66979F-FA5D-AA49-B22C-9781D72A6514}" name="Account Type" dataDxfId="11">
      <calculatedColumnFormula array="1">_xlfn.XLOOKUP(Table4[[#This Row],[Account]],Table25[[#All],[Account]],Table25[[#All],[Account Type2]])</calculatedColumnFormula>
    </tableColumn>
    <tableColumn id="3" xr3:uid="{E3EAC05B-E30E-E24D-8C0B-E876FF67B7FC}" name="Owner" dataDxfId="10">
      <calculatedColumnFormula array="1">_xlfn.XLOOKUP(Table4[[#This Row],[Account]],Table25[[#All],[Account]],Table25[[#All],[Owner]])</calculatedColumnFormula>
    </tableColumn>
    <tableColumn id="4" xr3:uid="{348190E8-36F8-3D4E-AEDF-D62ABC8778D3}" name="Transaction" dataDxfId="9">
      <calculatedColumnFormula>IF(Table4[[#This Row],[Date Sold]]&lt;&gt;"","Closed","Open")</calculatedColumnFormula>
    </tableColumn>
    <tableColumn id="5" xr3:uid="{08380172-5D03-D34B-879F-2A6B96A894FA}" name="Symbol" dataDxfId="8"/>
    <tableColumn id="6" xr3:uid="{2069EC4A-30DE-3241-93CB-213CCCB8C6B4}" name="Security Description" dataDxfId="7">
      <calculatedColumnFormula array="1">_xlfn.XLOOKUP(Table4[[#This Row],[Symbol]],Table36[[#All],[Symbol]],Table36[[#All],[Security Description]])</calculatedColumnFormula>
    </tableColumn>
    <tableColumn id="7" xr3:uid="{8A722796-0EBD-404D-A4B5-8BBD14003108}" name="Date Acquired" dataDxfId="6"/>
    <tableColumn id="8" xr3:uid="{DE2BC68E-9090-4E42-91E9-B347D59F0AEA}" name="Shares Bought" dataDxfId="5"/>
    <tableColumn id="9" xr3:uid="{39330DF2-9948-5E49-B158-7E8529E815AF}" name="Cost Basis Per Share" dataDxfId="4"/>
    <tableColumn id="10" xr3:uid="{FAD33138-0C6D-2246-AA81-68BA16CCB53A}" name="Date Sold" dataDxfId="3"/>
    <tableColumn id="11" xr3:uid="{3E748A03-6922-7042-8C8A-59DD20A9C3D3}" name="Charitable Donation" dataDxfId="2"/>
    <tableColumn id="12" xr3:uid="{51498472-466A-A946-AD11-9B62C566F1E9}" name="Shares Sold" dataDxfId="1"/>
    <tableColumn id="13" xr3:uid="{919FF199-7CD0-7847-80E2-30B6FDE4BB78}" name="Sell Basis Per Share" dataDxfId="0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36" displayName="Table36" ref="B2:C123" headerRowCount="0">
  <tableColumns count="2">
    <tableColumn id="1" xr3:uid="{00000000-0010-0000-0300-000001000000}" name="Symbol"/>
    <tableColumn id="2" xr3:uid="{00000000-0010-0000-0300-000002000000}" name="Security Description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8"/>
  </sheetPr>
  <dimension ref="B2:C18"/>
  <sheetViews>
    <sheetView zoomScaleNormal="100" workbookViewId="0">
      <selection activeCell="B3" sqref="B3"/>
    </sheetView>
  </sheetViews>
  <sheetFormatPr baseColWidth="10" defaultColWidth="8.83203125" defaultRowHeight="15" x14ac:dyDescent="0.2"/>
  <cols>
    <col min="2" max="2" width="25.83203125" customWidth="1"/>
    <col min="3" max="3" width="19.6640625" customWidth="1"/>
  </cols>
  <sheetData>
    <row r="2" spans="2:3" x14ac:dyDescent="0.2">
      <c r="B2" t="s">
        <v>0</v>
      </c>
      <c r="C2" t="s">
        <v>1</v>
      </c>
    </row>
    <row r="3" spans="2:3" ht="17" customHeight="1" x14ac:dyDescent="0.2">
      <c r="B3" s="1" t="s">
        <v>2</v>
      </c>
      <c r="C3" s="1" t="s">
        <v>2</v>
      </c>
    </row>
    <row r="4" spans="2:3" ht="17" customHeight="1" x14ac:dyDescent="0.2">
      <c r="B4" s="1" t="s">
        <v>3</v>
      </c>
      <c r="C4" s="1" t="s">
        <v>2</v>
      </c>
    </row>
    <row r="5" spans="2:3" ht="17" customHeight="1" x14ac:dyDescent="0.2">
      <c r="B5" s="1" t="s">
        <v>4</v>
      </c>
      <c r="C5" s="1" t="s">
        <v>2</v>
      </c>
    </row>
    <row r="6" spans="2:3" ht="17" customHeight="1" x14ac:dyDescent="0.2">
      <c r="B6" s="1" t="s">
        <v>5</v>
      </c>
      <c r="C6" s="1" t="s">
        <v>6</v>
      </c>
    </row>
    <row r="7" spans="2:3" ht="17" customHeight="1" x14ac:dyDescent="0.2">
      <c r="B7" s="1" t="s">
        <v>7</v>
      </c>
      <c r="C7" s="1" t="s">
        <v>6</v>
      </c>
    </row>
    <row r="8" spans="2:3" ht="17" customHeight="1" x14ac:dyDescent="0.2">
      <c r="B8" s="1" t="s">
        <v>8</v>
      </c>
      <c r="C8" s="1" t="s">
        <v>6</v>
      </c>
    </row>
    <row r="9" spans="2:3" ht="17" customHeight="1" x14ac:dyDescent="0.2">
      <c r="B9" s="1" t="s">
        <v>9</v>
      </c>
      <c r="C9" s="1" t="s">
        <v>6</v>
      </c>
    </row>
    <row r="10" spans="2:3" ht="17" customHeight="1" x14ac:dyDescent="0.2">
      <c r="B10" s="1" t="s">
        <v>10</v>
      </c>
      <c r="C10" s="1" t="s">
        <v>6</v>
      </c>
    </row>
    <row r="11" spans="2:3" ht="17" customHeight="1" x14ac:dyDescent="0.2">
      <c r="B11" s="1" t="s">
        <v>11</v>
      </c>
      <c r="C11" s="1" t="s">
        <v>6</v>
      </c>
    </row>
    <row r="12" spans="2:3" ht="17" customHeight="1" x14ac:dyDescent="0.2">
      <c r="B12" s="1" t="s">
        <v>12</v>
      </c>
      <c r="C12" s="1" t="s">
        <v>6</v>
      </c>
    </row>
    <row r="13" spans="2:3" ht="17" customHeight="1" x14ac:dyDescent="0.2">
      <c r="B13" s="1" t="s">
        <v>13</v>
      </c>
      <c r="C13" s="1" t="s">
        <v>6</v>
      </c>
    </row>
    <row r="14" spans="2:3" ht="17" customHeight="1" x14ac:dyDescent="0.2">
      <c r="B14" s="1" t="s">
        <v>14</v>
      </c>
      <c r="C14" s="1" t="s">
        <v>6</v>
      </c>
    </row>
    <row r="15" spans="2:3" ht="17" customHeight="1" x14ac:dyDescent="0.2">
      <c r="B15" s="1" t="s">
        <v>15</v>
      </c>
      <c r="C15" s="1" t="s">
        <v>15</v>
      </c>
    </row>
    <row r="16" spans="2:3" ht="17" customHeight="1" x14ac:dyDescent="0.2">
      <c r="B16" s="1">
        <v>529</v>
      </c>
      <c r="C16" s="1" t="s">
        <v>16</v>
      </c>
    </row>
    <row r="17" spans="2:3" ht="17" customHeight="1" x14ac:dyDescent="0.2">
      <c r="B17" s="1" t="s">
        <v>17</v>
      </c>
      <c r="C17" s="1" t="s">
        <v>16</v>
      </c>
    </row>
    <row r="18" spans="2:3" ht="17" customHeight="1" x14ac:dyDescent="0.2">
      <c r="B18" s="1" t="s">
        <v>18</v>
      </c>
      <c r="C18" s="1" t="s">
        <v>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8"/>
  </sheetPr>
  <dimension ref="B2:E18"/>
  <sheetViews>
    <sheetView zoomScaleNormal="100" workbookViewId="0">
      <selection activeCell="J38" sqref="J38"/>
    </sheetView>
  </sheetViews>
  <sheetFormatPr baseColWidth="10" defaultColWidth="10.83203125" defaultRowHeight="16" customHeight="1" x14ac:dyDescent="0.2"/>
  <cols>
    <col min="1" max="1" width="10.83203125" style="2" customWidth="1"/>
    <col min="2" max="3" width="14.6640625" style="2" customWidth="1"/>
    <col min="4" max="4" width="10.83203125" style="2" customWidth="1"/>
    <col min="5" max="5" width="13.1640625" style="2" bestFit="1" customWidth="1"/>
    <col min="6" max="16384" width="10.83203125" style="2"/>
  </cols>
  <sheetData>
    <row r="2" spans="2:5" ht="16" customHeight="1" x14ac:dyDescent="0.2">
      <c r="B2" s="3" t="s">
        <v>19</v>
      </c>
      <c r="C2" s="3" t="s">
        <v>0</v>
      </c>
      <c r="D2" s="4" t="s">
        <v>20</v>
      </c>
      <c r="E2" s="31" t="s">
        <v>355</v>
      </c>
    </row>
    <row r="3" spans="2:5" ht="16" customHeight="1" x14ac:dyDescent="0.2">
      <c r="B3" s="5" t="s">
        <v>21</v>
      </c>
      <c r="C3" s="6" t="s">
        <v>2</v>
      </c>
      <c r="D3" s="2" t="s">
        <v>22</v>
      </c>
      <c r="E3" s="59" t="s">
        <v>356</v>
      </c>
    </row>
    <row r="4" spans="2:5" ht="16" customHeight="1" x14ac:dyDescent="0.2">
      <c r="B4" s="5" t="s">
        <v>23</v>
      </c>
      <c r="C4" s="6" t="s">
        <v>7</v>
      </c>
      <c r="D4" s="2" t="s">
        <v>24</v>
      </c>
      <c r="E4" s="59" t="s">
        <v>357</v>
      </c>
    </row>
    <row r="5" spans="2:5" ht="16" customHeight="1" x14ac:dyDescent="0.2">
      <c r="B5" s="5" t="s">
        <v>25</v>
      </c>
      <c r="C5" s="6" t="s">
        <v>15</v>
      </c>
      <c r="D5" s="2" t="s">
        <v>26</v>
      </c>
      <c r="E5" s="59" t="s">
        <v>358</v>
      </c>
    </row>
    <row r="6" spans="2:5" ht="16" customHeight="1" x14ac:dyDescent="0.2">
      <c r="B6" s="5"/>
      <c r="C6" s="6"/>
    </row>
    <row r="7" spans="2:5" ht="16" customHeight="1" x14ac:dyDescent="0.2">
      <c r="B7" s="5"/>
      <c r="C7" s="6"/>
    </row>
    <row r="8" spans="2:5" ht="16" customHeight="1" x14ac:dyDescent="0.2">
      <c r="B8" s="5"/>
      <c r="C8" s="6"/>
    </row>
    <row r="9" spans="2:5" ht="16" customHeight="1" x14ac:dyDescent="0.2">
      <c r="B9" s="5"/>
      <c r="C9" s="6"/>
    </row>
    <row r="10" spans="2:5" ht="16" customHeight="1" x14ac:dyDescent="0.2">
      <c r="B10" s="5"/>
      <c r="C10" s="6"/>
    </row>
    <row r="11" spans="2:5" ht="16" customHeight="1" x14ac:dyDescent="0.2">
      <c r="B11" s="5"/>
      <c r="C11" s="6"/>
    </row>
    <row r="12" spans="2:5" ht="16" customHeight="1" x14ac:dyDescent="0.2">
      <c r="B12" s="5"/>
      <c r="C12" s="6"/>
    </row>
    <row r="13" spans="2:5" ht="16" customHeight="1" x14ac:dyDescent="0.2">
      <c r="B13" s="5"/>
      <c r="C13" s="6"/>
    </row>
    <row r="14" spans="2:5" ht="16" customHeight="1" x14ac:dyDescent="0.2">
      <c r="B14" s="5"/>
      <c r="C14" s="6"/>
    </row>
    <row r="15" spans="2:5" ht="16" customHeight="1" x14ac:dyDescent="0.2">
      <c r="B15" s="7"/>
      <c r="C15" s="6"/>
    </row>
    <row r="16" spans="2:5" ht="16" customHeight="1" x14ac:dyDescent="0.2">
      <c r="B16" s="7"/>
      <c r="C16" s="6"/>
    </row>
    <row r="17" spans="2:3" ht="16" customHeight="1" x14ac:dyDescent="0.2">
      <c r="B17" s="7"/>
      <c r="C17" s="6"/>
    </row>
    <row r="18" spans="2:3" ht="16" customHeight="1" x14ac:dyDescent="0.2">
      <c r="B18" s="7"/>
      <c r="C18" s="6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/>
  </sheetPr>
  <dimension ref="A1:AM21"/>
  <sheetViews>
    <sheetView zoomScale="125" zoomScaleNormal="100" workbookViewId="0">
      <pane xSplit="1" ySplit="2" topLeftCell="I3" activePane="bottomRight" state="frozen"/>
      <selection pane="topRight"/>
      <selection pane="bottomLeft"/>
      <selection pane="bottomRight" activeCell="M4" sqref="M4"/>
    </sheetView>
  </sheetViews>
  <sheetFormatPr baseColWidth="10" defaultColWidth="10.83203125" defaultRowHeight="14" customHeight="1" x14ac:dyDescent="0.2"/>
  <cols>
    <col min="1" max="1" width="10.83203125" style="8" customWidth="1"/>
    <col min="2" max="2" width="19.6640625" style="8" customWidth="1"/>
    <col min="3" max="18" width="11.5" style="8" customWidth="1"/>
    <col min="19" max="19" width="10.83203125" style="8" customWidth="1"/>
    <col min="20" max="16384" width="10.83203125" style="8"/>
  </cols>
  <sheetData>
    <row r="1" spans="1:39" x14ac:dyDescent="0.2">
      <c r="A1" s="9" t="s">
        <v>27</v>
      </c>
    </row>
    <row r="2" spans="1:39" x14ac:dyDescent="0.2">
      <c r="C2" s="10">
        <v>45658</v>
      </c>
      <c r="D2" s="10">
        <v>45689</v>
      </c>
      <c r="E2" s="10">
        <v>45717</v>
      </c>
      <c r="F2" s="10">
        <v>45748</v>
      </c>
      <c r="G2" s="10">
        <v>45778</v>
      </c>
      <c r="H2" s="10">
        <v>45809</v>
      </c>
      <c r="I2" s="10">
        <v>45839</v>
      </c>
      <c r="J2" s="10">
        <v>45870</v>
      </c>
      <c r="K2" s="10">
        <v>45901</v>
      </c>
      <c r="L2" s="10">
        <v>45931</v>
      </c>
      <c r="M2" s="10">
        <v>45962</v>
      </c>
      <c r="N2" s="10">
        <v>45992</v>
      </c>
      <c r="O2" s="10">
        <v>46023</v>
      </c>
      <c r="P2" s="10">
        <v>46054</v>
      </c>
      <c r="Q2" s="10">
        <v>46082</v>
      </c>
      <c r="R2" s="10">
        <v>46113</v>
      </c>
      <c r="S2" s="10">
        <v>46143</v>
      </c>
      <c r="T2" s="10">
        <v>46174</v>
      </c>
      <c r="U2" s="10">
        <v>46204</v>
      </c>
      <c r="V2" s="10">
        <v>46235</v>
      </c>
      <c r="W2" s="10">
        <v>46266</v>
      </c>
      <c r="X2" s="10">
        <v>46296</v>
      </c>
      <c r="Y2" s="10">
        <v>46327</v>
      </c>
      <c r="Z2" s="10">
        <v>46357</v>
      </c>
      <c r="AA2" s="10">
        <v>46388</v>
      </c>
      <c r="AB2" s="10">
        <v>46419</v>
      </c>
      <c r="AC2" s="10">
        <v>46447</v>
      </c>
      <c r="AD2" s="10">
        <v>46478</v>
      </c>
      <c r="AE2" s="10">
        <v>46508</v>
      </c>
      <c r="AF2" s="10">
        <v>46539</v>
      </c>
      <c r="AG2" s="10">
        <v>46569</v>
      </c>
      <c r="AH2" s="10">
        <v>46600</v>
      </c>
      <c r="AI2" s="10">
        <v>46631</v>
      </c>
      <c r="AJ2" s="10">
        <v>46661</v>
      </c>
      <c r="AK2" s="10">
        <v>46692</v>
      </c>
      <c r="AL2" s="10">
        <v>46722</v>
      </c>
      <c r="AM2" s="10">
        <v>46753</v>
      </c>
    </row>
    <row r="3" spans="1:39" x14ac:dyDescent="0.2">
      <c r="B3" s="8" t="s">
        <v>28</v>
      </c>
      <c r="C3" s="11">
        <v>-300000</v>
      </c>
      <c r="D3" s="11">
        <f>C3+2500</f>
        <v>-297500</v>
      </c>
      <c r="E3" s="11">
        <f t="shared" ref="E3:R3" si="0">D3+2500</f>
        <v>-295000</v>
      </c>
      <c r="F3" s="11">
        <f t="shared" si="0"/>
        <v>-292500</v>
      </c>
      <c r="G3" s="11">
        <f t="shared" si="0"/>
        <v>-290000</v>
      </c>
      <c r="H3" s="11">
        <f t="shared" si="0"/>
        <v>-287500</v>
      </c>
      <c r="I3" s="11">
        <f t="shared" si="0"/>
        <v>-285000</v>
      </c>
      <c r="J3" s="11">
        <f t="shared" si="0"/>
        <v>-282500</v>
      </c>
      <c r="K3" s="11">
        <f t="shared" si="0"/>
        <v>-280000</v>
      </c>
      <c r="L3" s="11">
        <f t="shared" si="0"/>
        <v>-277500</v>
      </c>
      <c r="M3" s="11">
        <v>-250000</v>
      </c>
      <c r="N3" s="11">
        <f t="shared" si="0"/>
        <v>-247500</v>
      </c>
      <c r="O3" s="11">
        <f t="shared" si="0"/>
        <v>-245000</v>
      </c>
      <c r="P3" s="11">
        <f t="shared" si="0"/>
        <v>-242500</v>
      </c>
      <c r="Q3" s="11">
        <f t="shared" si="0"/>
        <v>-240000</v>
      </c>
      <c r="R3" s="11">
        <f t="shared" si="0"/>
        <v>-237500</v>
      </c>
    </row>
    <row r="4" spans="1:39" x14ac:dyDescent="0.2">
      <c r="B4" s="8" t="s">
        <v>29</v>
      </c>
      <c r="C4" s="11">
        <v>50000</v>
      </c>
      <c r="D4" s="11">
        <f>C4*1.01</f>
        <v>50500</v>
      </c>
      <c r="E4" s="11">
        <f t="shared" ref="E4:R4" si="1">D4*1.01</f>
        <v>51005</v>
      </c>
      <c r="F4" s="11">
        <f t="shared" si="1"/>
        <v>51515.05</v>
      </c>
      <c r="G4" s="11">
        <f t="shared" si="1"/>
        <v>52030.200500000006</v>
      </c>
      <c r="H4" s="11">
        <f t="shared" si="1"/>
        <v>52550.502505000004</v>
      </c>
      <c r="I4" s="11">
        <f t="shared" si="1"/>
        <v>53076.007530050003</v>
      </c>
      <c r="J4" s="11">
        <f t="shared" si="1"/>
        <v>53606.767605350506</v>
      </c>
      <c r="K4" s="11">
        <f t="shared" si="1"/>
        <v>54142.835281404012</v>
      </c>
      <c r="L4" s="11">
        <f t="shared" si="1"/>
        <v>54684.263634218056</v>
      </c>
      <c r="M4" s="11">
        <f t="shared" si="1"/>
        <v>55231.106270560238</v>
      </c>
      <c r="N4" s="11">
        <f t="shared" si="1"/>
        <v>55783.417333265839</v>
      </c>
      <c r="O4" s="11">
        <f t="shared" si="1"/>
        <v>56341.251506598499</v>
      </c>
      <c r="P4" s="11">
        <f t="shared" si="1"/>
        <v>56904.664021664481</v>
      </c>
      <c r="Q4" s="11">
        <f t="shared" si="1"/>
        <v>57473.710661881123</v>
      </c>
      <c r="R4" s="11">
        <f t="shared" si="1"/>
        <v>58048.447768499937</v>
      </c>
    </row>
    <row r="5" spans="1:39" x14ac:dyDescent="0.2">
      <c r="B5" s="8" t="s">
        <v>2</v>
      </c>
      <c r="C5" s="11">
        <v>100000</v>
      </c>
      <c r="D5" s="11">
        <f>C5*1.03</f>
        <v>103000</v>
      </c>
      <c r="E5" s="11">
        <f t="shared" ref="E5:R5" si="2">D5*1.03</f>
        <v>106090</v>
      </c>
      <c r="F5" s="11">
        <f t="shared" si="2"/>
        <v>109272.7</v>
      </c>
      <c r="G5" s="11">
        <f t="shared" si="2"/>
        <v>112550.88099999999</v>
      </c>
      <c r="H5" s="11">
        <f t="shared" si="2"/>
        <v>115927.40742999999</v>
      </c>
      <c r="I5" s="11">
        <f t="shared" si="2"/>
        <v>119405.2296529</v>
      </c>
      <c r="J5" s="11">
        <f t="shared" si="2"/>
        <v>122987.386542487</v>
      </c>
      <c r="K5" s="11">
        <f t="shared" si="2"/>
        <v>126677.00813876161</v>
      </c>
      <c r="L5" s="11">
        <f t="shared" si="2"/>
        <v>130477.31838292447</v>
      </c>
      <c r="M5" s="11">
        <f t="shared" si="2"/>
        <v>134391.6379344122</v>
      </c>
      <c r="N5" s="11">
        <f t="shared" si="2"/>
        <v>138423.38707244457</v>
      </c>
      <c r="O5" s="11">
        <f t="shared" si="2"/>
        <v>142576.08868461792</v>
      </c>
      <c r="P5" s="11">
        <f t="shared" si="2"/>
        <v>146853.37134515645</v>
      </c>
      <c r="Q5" s="11">
        <f t="shared" si="2"/>
        <v>151258.97248551116</v>
      </c>
      <c r="R5" s="11">
        <f t="shared" si="2"/>
        <v>155796.74166007648</v>
      </c>
    </row>
    <row r="6" spans="1:39" x14ac:dyDescent="0.2">
      <c r="B6" s="8" t="s">
        <v>30</v>
      </c>
      <c r="C6" s="11">
        <v>10000</v>
      </c>
      <c r="D6" s="11">
        <f>C6</f>
        <v>10000</v>
      </c>
      <c r="E6" s="11">
        <f t="shared" ref="E6:R6" si="3">D6</f>
        <v>10000</v>
      </c>
      <c r="F6" s="11">
        <f t="shared" si="3"/>
        <v>10000</v>
      </c>
      <c r="G6" s="11">
        <f t="shared" si="3"/>
        <v>10000</v>
      </c>
      <c r="H6" s="11">
        <f t="shared" si="3"/>
        <v>10000</v>
      </c>
      <c r="I6" s="11">
        <f t="shared" si="3"/>
        <v>10000</v>
      </c>
      <c r="J6" s="11">
        <f t="shared" si="3"/>
        <v>10000</v>
      </c>
      <c r="K6" s="11">
        <f t="shared" si="3"/>
        <v>10000</v>
      </c>
      <c r="L6" s="11">
        <f t="shared" si="3"/>
        <v>10000</v>
      </c>
      <c r="M6" s="11">
        <f t="shared" si="3"/>
        <v>10000</v>
      </c>
      <c r="N6" s="11">
        <f t="shared" si="3"/>
        <v>10000</v>
      </c>
      <c r="O6" s="11">
        <f t="shared" si="3"/>
        <v>10000</v>
      </c>
      <c r="P6" s="11">
        <f t="shared" si="3"/>
        <v>10000</v>
      </c>
      <c r="Q6" s="11">
        <f t="shared" si="3"/>
        <v>10000</v>
      </c>
      <c r="R6" s="11">
        <f t="shared" si="3"/>
        <v>10000</v>
      </c>
    </row>
    <row r="7" spans="1:39" x14ac:dyDescent="0.2">
      <c r="B7" s="8" t="s">
        <v>6</v>
      </c>
      <c r="C7" s="11">
        <v>250000</v>
      </c>
      <c r="D7" s="11">
        <f>C7*1.01</f>
        <v>252500</v>
      </c>
      <c r="E7" s="11">
        <f t="shared" ref="E7:R7" si="4">D7*1.01</f>
        <v>255025</v>
      </c>
      <c r="F7" s="11">
        <f t="shared" si="4"/>
        <v>257575.25</v>
      </c>
      <c r="G7" s="11">
        <f t="shared" si="4"/>
        <v>260151.0025</v>
      </c>
      <c r="H7" s="11">
        <f t="shared" si="4"/>
        <v>262752.51252500003</v>
      </c>
      <c r="I7" s="11">
        <f t="shared" si="4"/>
        <v>265380.03765025001</v>
      </c>
      <c r="J7" s="11">
        <f t="shared" si="4"/>
        <v>268033.83802675252</v>
      </c>
      <c r="K7" s="11">
        <f t="shared" si="4"/>
        <v>270714.17640702007</v>
      </c>
      <c r="L7" s="11">
        <f t="shared" si="4"/>
        <v>273421.31817109027</v>
      </c>
      <c r="M7" s="11">
        <f t="shared" si="4"/>
        <v>276155.53135280119</v>
      </c>
      <c r="N7" s="11">
        <f t="shared" si="4"/>
        <v>278917.08666632918</v>
      </c>
      <c r="O7" s="11">
        <f t="shared" si="4"/>
        <v>281706.25753299246</v>
      </c>
      <c r="P7" s="11">
        <f t="shared" si="4"/>
        <v>284523.32010832237</v>
      </c>
      <c r="Q7" s="11">
        <f t="shared" si="4"/>
        <v>287368.55330940557</v>
      </c>
      <c r="R7" s="11">
        <f t="shared" si="4"/>
        <v>290242.23884249962</v>
      </c>
    </row>
    <row r="8" spans="1:39" x14ac:dyDescent="0.2">
      <c r="B8" s="8" t="s">
        <v>31</v>
      </c>
      <c r="C8" s="12">
        <v>500000</v>
      </c>
      <c r="D8" s="12">
        <v>500000</v>
      </c>
      <c r="E8" s="12">
        <v>500000</v>
      </c>
      <c r="F8" s="12">
        <v>500000</v>
      </c>
      <c r="G8" s="12">
        <v>500000</v>
      </c>
      <c r="H8" s="12">
        <v>500000</v>
      </c>
      <c r="I8" s="12">
        <v>500000</v>
      </c>
      <c r="J8" s="12">
        <v>500000</v>
      </c>
      <c r="K8" s="12">
        <v>500000</v>
      </c>
      <c r="L8" s="12">
        <v>500000</v>
      </c>
      <c r="M8" s="12">
        <v>500000</v>
      </c>
      <c r="N8" s="12">
        <v>500000</v>
      </c>
      <c r="O8" s="12">
        <v>500000</v>
      </c>
      <c r="P8" s="12">
        <v>500000</v>
      </c>
      <c r="Q8" s="12">
        <v>500000</v>
      </c>
      <c r="R8" s="12">
        <v>500000</v>
      </c>
    </row>
    <row r="9" spans="1:39" x14ac:dyDescent="0.2">
      <c r="B9" s="8" t="s">
        <v>32</v>
      </c>
      <c r="C9" s="11">
        <v>25000</v>
      </c>
      <c r="D9" s="11">
        <v>25000</v>
      </c>
      <c r="E9" s="11">
        <v>25000</v>
      </c>
      <c r="F9" s="11">
        <v>25000</v>
      </c>
      <c r="G9" s="11">
        <v>25000</v>
      </c>
      <c r="H9" s="11">
        <v>25000</v>
      </c>
      <c r="I9" s="11">
        <v>25000</v>
      </c>
      <c r="J9" s="11">
        <v>25000</v>
      </c>
      <c r="K9" s="11">
        <v>25000</v>
      </c>
      <c r="L9" s="11">
        <v>25000</v>
      </c>
      <c r="M9" s="11">
        <v>25000</v>
      </c>
      <c r="N9" s="11">
        <v>25000</v>
      </c>
      <c r="O9" s="11">
        <v>25000</v>
      </c>
      <c r="P9" s="11">
        <v>25000</v>
      </c>
      <c r="Q9" s="11">
        <v>25000</v>
      </c>
      <c r="R9" s="11">
        <v>25000</v>
      </c>
    </row>
    <row r="10" spans="1:39" hidden="1" x14ac:dyDescent="0.2">
      <c r="B10" s="13" t="s">
        <v>33</v>
      </c>
      <c r="C10" s="14" t="e">
        <f>#REF!-C3</f>
        <v>#REF!</v>
      </c>
      <c r="D10" s="14" t="e">
        <f>#REF!-D3</f>
        <v>#REF!</v>
      </c>
      <c r="E10" s="14" t="e">
        <f>#REF!-E3</f>
        <v>#REF!</v>
      </c>
      <c r="F10" s="14" t="e">
        <f>#REF!-F3</f>
        <v>#REF!</v>
      </c>
      <c r="G10" s="14" t="e">
        <f>#REF!-G3</f>
        <v>#REF!</v>
      </c>
      <c r="H10" s="14" t="e">
        <f>#REF!-H3</f>
        <v>#REF!</v>
      </c>
      <c r="I10" s="14" t="e">
        <f>#REF!-I3</f>
        <v>#REF!</v>
      </c>
      <c r="J10" s="14" t="e">
        <f>#REF!-J3</f>
        <v>#REF!</v>
      </c>
      <c r="K10" s="14" t="e">
        <f>#REF!-K3</f>
        <v>#REF!</v>
      </c>
      <c r="L10" s="14" t="e">
        <f>#REF!-L3</f>
        <v>#REF!</v>
      </c>
      <c r="M10" s="14" t="e">
        <f>#REF!-M3</f>
        <v>#REF!</v>
      </c>
      <c r="N10" s="14" t="e">
        <f>#REF!-N3</f>
        <v>#REF!</v>
      </c>
      <c r="O10" s="14">
        <f t="shared" ref="O10:P10" si="5">C3-O3</f>
        <v>-55000</v>
      </c>
      <c r="P10" s="14">
        <f t="shared" si="5"/>
        <v>-55000</v>
      </c>
      <c r="Q10" s="14"/>
      <c r="R10" s="14"/>
    </row>
    <row r="11" spans="1:39" hidden="1" x14ac:dyDescent="0.2">
      <c r="B11" s="13" t="s">
        <v>34</v>
      </c>
      <c r="C11" s="14" t="e">
        <f>C4-#REF!</f>
        <v>#REF!</v>
      </c>
      <c r="D11" s="14" t="e">
        <f>D4-#REF!</f>
        <v>#REF!</v>
      </c>
      <c r="E11" s="14" t="e">
        <f>E4-#REF!</f>
        <v>#REF!</v>
      </c>
      <c r="F11" s="14" t="e">
        <f>F4-#REF!</f>
        <v>#REF!</v>
      </c>
      <c r="G11" s="14" t="e">
        <f>G4-#REF!</f>
        <v>#REF!</v>
      </c>
      <c r="H11" s="14" t="e">
        <f>H4-#REF!</f>
        <v>#REF!</v>
      </c>
      <c r="I11" s="14" t="e">
        <f>I4-#REF!</f>
        <v>#REF!</v>
      </c>
      <c r="J11" s="14" t="e">
        <f>J4-#REF!</f>
        <v>#REF!</v>
      </c>
      <c r="K11" s="14" t="e">
        <f>K4-#REF!</f>
        <v>#REF!</v>
      </c>
      <c r="L11" s="14" t="e">
        <f>L4-#REF!</f>
        <v>#REF!</v>
      </c>
      <c r="M11" s="14" t="e">
        <f>M4-#REF!</f>
        <v>#REF!</v>
      </c>
      <c r="N11" s="14" t="e">
        <f>N4-#REF!</f>
        <v>#REF!</v>
      </c>
      <c r="O11" s="14">
        <f t="shared" ref="O11:P14" si="6">O4-C4</f>
        <v>6341.251506598499</v>
      </c>
      <c r="P11" s="14">
        <f t="shared" si="6"/>
        <v>6404.664021664481</v>
      </c>
      <c r="Q11" s="14"/>
      <c r="R11" s="14"/>
    </row>
    <row r="12" spans="1:39" hidden="1" x14ac:dyDescent="0.2">
      <c r="B12" s="13" t="s">
        <v>35</v>
      </c>
      <c r="C12" s="14" t="e">
        <f>C5-#REF!</f>
        <v>#REF!</v>
      </c>
      <c r="D12" s="14" t="e">
        <f>D5-#REF!</f>
        <v>#REF!</v>
      </c>
      <c r="E12" s="14" t="e">
        <f>E5-#REF!</f>
        <v>#REF!</v>
      </c>
      <c r="F12" s="14" t="e">
        <f>F5-#REF!</f>
        <v>#REF!</v>
      </c>
      <c r="G12" s="14" t="e">
        <f>G5-#REF!</f>
        <v>#REF!</v>
      </c>
      <c r="H12" s="14" t="e">
        <f>H5-#REF!</f>
        <v>#REF!</v>
      </c>
      <c r="I12" s="14" t="e">
        <f>I5-#REF!</f>
        <v>#REF!</v>
      </c>
      <c r="J12" s="14" t="e">
        <f>J5-#REF!</f>
        <v>#REF!</v>
      </c>
      <c r="K12" s="14" t="e">
        <f>K5-#REF!</f>
        <v>#REF!</v>
      </c>
      <c r="L12" s="14" t="e">
        <f>L5-#REF!</f>
        <v>#REF!</v>
      </c>
      <c r="M12" s="14" t="e">
        <f>M5-#REF!</f>
        <v>#REF!</v>
      </c>
      <c r="N12" s="14" t="e">
        <f>N5-#REF!</f>
        <v>#REF!</v>
      </c>
      <c r="O12" s="14">
        <f t="shared" si="6"/>
        <v>42576.08868461792</v>
      </c>
      <c r="P12" s="14">
        <f t="shared" si="6"/>
        <v>43853.371345156454</v>
      </c>
      <c r="Q12" s="14"/>
      <c r="R12" s="14"/>
    </row>
    <row r="13" spans="1:39" hidden="1" x14ac:dyDescent="0.2">
      <c r="B13" s="13" t="s">
        <v>36</v>
      </c>
      <c r="C13" s="14" t="e">
        <f>C6-#REF!</f>
        <v>#REF!</v>
      </c>
      <c r="D13" s="14" t="e">
        <f>D6-#REF!</f>
        <v>#REF!</v>
      </c>
      <c r="E13" s="14" t="e">
        <f>E6-#REF!</f>
        <v>#REF!</v>
      </c>
      <c r="F13" s="14" t="e">
        <f>F6-#REF!</f>
        <v>#REF!</v>
      </c>
      <c r="G13" s="14" t="e">
        <f>G6-#REF!</f>
        <v>#REF!</v>
      </c>
      <c r="H13" s="14" t="e">
        <f>H6-#REF!</f>
        <v>#REF!</v>
      </c>
      <c r="I13" s="14" t="e">
        <f>I6-#REF!</f>
        <v>#REF!</v>
      </c>
      <c r="J13" s="14" t="e">
        <f>J6-#REF!</f>
        <v>#REF!</v>
      </c>
      <c r="K13" s="14" t="e">
        <f>K6-#REF!</f>
        <v>#REF!</v>
      </c>
      <c r="L13" s="14" t="e">
        <f>L6-#REF!</f>
        <v>#REF!</v>
      </c>
      <c r="M13" s="14" t="e">
        <f>M6-#REF!</f>
        <v>#REF!</v>
      </c>
      <c r="N13" s="14" t="e">
        <f>N6-#REF!</f>
        <v>#REF!</v>
      </c>
      <c r="O13" s="14">
        <f t="shared" si="6"/>
        <v>0</v>
      </c>
      <c r="P13" s="14">
        <f t="shared" si="6"/>
        <v>0</v>
      </c>
      <c r="Q13" s="14"/>
      <c r="R13" s="14"/>
    </row>
    <row r="14" spans="1:39" hidden="1" x14ac:dyDescent="0.2">
      <c r="B14" s="13" t="s">
        <v>37</v>
      </c>
      <c r="C14" s="14" t="e">
        <f>C7-#REF!</f>
        <v>#REF!</v>
      </c>
      <c r="D14" s="14" t="e">
        <f>D7-#REF!</f>
        <v>#REF!</v>
      </c>
      <c r="E14" s="14" t="e">
        <f>E7-#REF!</f>
        <v>#REF!</v>
      </c>
      <c r="F14" s="14" t="e">
        <f>F7-#REF!</f>
        <v>#REF!</v>
      </c>
      <c r="G14" s="14" t="e">
        <f>G7-#REF!</f>
        <v>#REF!</v>
      </c>
      <c r="H14" s="14" t="e">
        <f>H7-#REF!</f>
        <v>#REF!</v>
      </c>
      <c r="I14" s="14" t="e">
        <f>I7-#REF!</f>
        <v>#REF!</v>
      </c>
      <c r="J14" s="14" t="e">
        <f>J7-#REF!</f>
        <v>#REF!</v>
      </c>
      <c r="K14" s="14" t="e">
        <f>K7-#REF!</f>
        <v>#REF!</v>
      </c>
      <c r="L14" s="14" t="e">
        <f>L7-#REF!</f>
        <v>#REF!</v>
      </c>
      <c r="M14" s="14" t="e">
        <f>M7-#REF!</f>
        <v>#REF!</v>
      </c>
      <c r="N14" s="14" t="e">
        <f>N7-#REF!</f>
        <v>#REF!</v>
      </c>
      <c r="O14" s="14">
        <f t="shared" si="6"/>
        <v>31706.257532992458</v>
      </c>
      <c r="P14" s="14">
        <f t="shared" si="6"/>
        <v>32023.320108322368</v>
      </c>
      <c r="Q14" s="14"/>
      <c r="R14" s="14"/>
    </row>
    <row r="15" spans="1:39" hidden="1" x14ac:dyDescent="0.2">
      <c r="B15" s="13" t="s">
        <v>38</v>
      </c>
      <c r="C15" s="14" t="e">
        <f>C9-#REF!</f>
        <v>#REF!</v>
      </c>
      <c r="D15" s="14" t="e">
        <f>D9-#REF!</f>
        <v>#REF!</v>
      </c>
      <c r="E15" s="14" t="e">
        <f>E9-#REF!</f>
        <v>#REF!</v>
      </c>
      <c r="F15" s="14" t="e">
        <f>F9-#REF!</f>
        <v>#REF!</v>
      </c>
      <c r="G15" s="14" t="e">
        <f>G9-#REF!</f>
        <v>#REF!</v>
      </c>
      <c r="H15" s="14" t="e">
        <f>H9-#REF!</f>
        <v>#REF!</v>
      </c>
      <c r="I15" s="14" t="e">
        <f>I9-#REF!</f>
        <v>#REF!</v>
      </c>
      <c r="J15" s="14" t="e">
        <f>J9-#REF!</f>
        <v>#REF!</v>
      </c>
      <c r="K15" s="14" t="e">
        <f>K9-#REF!</f>
        <v>#REF!</v>
      </c>
      <c r="L15" s="14" t="e">
        <f>L9-#REF!</f>
        <v>#REF!</v>
      </c>
      <c r="M15" s="14" t="e">
        <f>M9-#REF!</f>
        <v>#REF!</v>
      </c>
      <c r="N15" s="14" t="e">
        <f>N9-#REF!</f>
        <v>#REF!</v>
      </c>
      <c r="O15" s="14">
        <f t="shared" ref="O15:P15" si="7">O9-C9</f>
        <v>0</v>
      </c>
      <c r="P15" s="14">
        <f t="shared" si="7"/>
        <v>0</v>
      </c>
      <c r="Q15" s="14"/>
      <c r="R15" s="14"/>
    </row>
    <row r="16" spans="1:39" x14ac:dyDescent="0.2">
      <c r="B16" s="15" t="s">
        <v>39</v>
      </c>
      <c r="C16" s="16">
        <f t="shared" ref="C16:F16" si="8">SUM(C3:C8)</f>
        <v>610000</v>
      </c>
      <c r="D16" s="16">
        <f t="shared" si="8"/>
        <v>618500</v>
      </c>
      <c r="E16" s="16">
        <f t="shared" si="8"/>
        <v>627120</v>
      </c>
      <c r="F16" s="16">
        <f t="shared" si="8"/>
        <v>635863</v>
      </c>
      <c r="G16" s="16">
        <f t="shared" ref="G16:R16" si="9">SUM(G3:G8)</f>
        <v>644732.08400000003</v>
      </c>
      <c r="H16" s="16">
        <f t="shared" si="9"/>
        <v>653730.42246000003</v>
      </c>
      <c r="I16" s="16">
        <f t="shared" si="9"/>
        <v>662861.27483320003</v>
      </c>
      <c r="J16" s="16">
        <f t="shared" si="9"/>
        <v>672127.99217459001</v>
      </c>
      <c r="K16" s="16">
        <f t="shared" si="9"/>
        <v>681534.01982718566</v>
      </c>
      <c r="L16" s="16">
        <f t="shared" si="9"/>
        <v>691082.90018823277</v>
      </c>
      <c r="M16" s="16">
        <f t="shared" si="9"/>
        <v>725778.27555777365</v>
      </c>
      <c r="N16" s="16">
        <f t="shared" si="9"/>
        <v>735623.89107203961</v>
      </c>
      <c r="O16" s="16">
        <f t="shared" si="9"/>
        <v>745623.59772420884</v>
      </c>
      <c r="P16" s="16">
        <f t="shared" si="9"/>
        <v>755781.3554751433</v>
      </c>
      <c r="Q16" s="16">
        <f t="shared" si="9"/>
        <v>766101.23645679792</v>
      </c>
      <c r="R16" s="16">
        <f t="shared" si="9"/>
        <v>776587.42827107606</v>
      </c>
    </row>
    <row r="17" spans="2:18" hidden="1" x14ac:dyDescent="0.2">
      <c r="B17" s="15" t="s">
        <v>40</v>
      </c>
      <c r="C17" s="16" t="e">
        <f>C16-#REF!</f>
        <v>#REF!</v>
      </c>
      <c r="D17" s="16" t="e">
        <f>D16-#REF!</f>
        <v>#REF!</v>
      </c>
      <c r="E17" s="16" t="e">
        <f>E16-#REF!</f>
        <v>#REF!</v>
      </c>
      <c r="F17" s="16" t="e">
        <f>F16-#REF!</f>
        <v>#REF!</v>
      </c>
      <c r="G17" s="16" t="e">
        <f>G16-#REF!</f>
        <v>#REF!</v>
      </c>
      <c r="H17" s="16" t="e">
        <f>H16-#REF!</f>
        <v>#REF!</v>
      </c>
      <c r="I17" s="16" t="e">
        <f>I16-#REF!</f>
        <v>#REF!</v>
      </c>
      <c r="J17" s="16" t="e">
        <f>J16-#REF!</f>
        <v>#REF!</v>
      </c>
      <c r="K17" s="16" t="e">
        <f>K16-#REF!</f>
        <v>#REF!</v>
      </c>
      <c r="L17" s="16" t="e">
        <f>L16-#REF!</f>
        <v>#REF!</v>
      </c>
      <c r="M17" s="16" t="e">
        <f>M16-#REF!</f>
        <v>#REF!</v>
      </c>
      <c r="N17" s="16" t="e">
        <f>N16-#REF!</f>
        <v>#REF!</v>
      </c>
      <c r="O17" s="16">
        <f t="shared" ref="O17:R17" si="10">O16-C16</f>
        <v>135623.59772420884</v>
      </c>
      <c r="P17" s="16">
        <f t="shared" si="10"/>
        <v>137281.3554751433</v>
      </c>
      <c r="Q17" s="16">
        <f t="shared" si="10"/>
        <v>138981.23645679792</v>
      </c>
      <c r="R17" s="16">
        <f t="shared" si="10"/>
        <v>140724.42827107606</v>
      </c>
    </row>
    <row r="18" spans="2:18" ht="15" customHeight="1" x14ac:dyDescent="0.2">
      <c r="B18" s="15" t="s">
        <v>41</v>
      </c>
      <c r="C18" s="17"/>
      <c r="D18" s="17">
        <f t="shared" ref="D18:R18" si="11">(D16-C16)/D16</f>
        <v>1.3742926434923201E-2</v>
      </c>
      <c r="E18" s="17">
        <f t="shared" si="11"/>
        <v>1.3745375685674193E-2</v>
      </c>
      <c r="F18" s="17">
        <f t="shared" si="11"/>
        <v>1.3749817177599577E-2</v>
      </c>
      <c r="G18" s="17">
        <f t="shared" si="11"/>
        <v>1.3756231805582102E-2</v>
      </c>
      <c r="H18" s="17">
        <f t="shared" si="11"/>
        <v>1.3764601050902726E-2</v>
      </c>
      <c r="I18" s="17">
        <f t="shared" si="11"/>
        <v>1.3774906937349231E-2</v>
      </c>
      <c r="J18" s="17">
        <f t="shared" si="11"/>
        <v>1.3787131988668726E-2</v>
      </c>
      <c r="K18" s="17">
        <f t="shared" si="11"/>
        <v>1.3801259187297375E-2</v>
      </c>
      <c r="L18" s="17">
        <f t="shared" si="11"/>
        <v>1.3817271934302301E-2</v>
      </c>
      <c r="M18" s="17">
        <f t="shared" si="11"/>
        <v>4.7804372957948982E-2</v>
      </c>
      <c r="N18" s="17">
        <f t="shared" si="11"/>
        <v>1.338403446891555E-2</v>
      </c>
      <c r="O18" s="17">
        <f t="shared" si="11"/>
        <v>1.3411199273588338E-2</v>
      </c>
      <c r="P18" s="17">
        <f t="shared" si="11"/>
        <v>1.3440074536568177E-2</v>
      </c>
      <c r="Q18" s="17">
        <f t="shared" si="11"/>
        <v>1.3470649165616622E-2</v>
      </c>
      <c r="R18" s="17">
        <f t="shared" si="11"/>
        <v>1.3502912141680742E-2</v>
      </c>
    </row>
    <row r="19" spans="2:18" ht="15" customHeight="1" x14ac:dyDescent="0.2">
      <c r="B19" s="15" t="s">
        <v>42</v>
      </c>
      <c r="C19" s="17">
        <f t="shared" ref="C19:R19" si="12">-C3/SUM(C4:C9)</f>
        <v>0.32085561497326204</v>
      </c>
      <c r="D19" s="17">
        <f t="shared" si="12"/>
        <v>0.31615302869287992</v>
      </c>
      <c r="E19" s="17">
        <f t="shared" si="12"/>
        <v>0.31147056339217838</v>
      </c>
      <c r="F19" s="17">
        <f t="shared" si="12"/>
        <v>0.30680863427676552</v>
      </c>
      <c r="G19" s="17">
        <f t="shared" si="12"/>
        <v>0.302167662032647</v>
      </c>
      <c r="H19" s="17">
        <f t="shared" si="12"/>
        <v>0.29754807271337175</v>
      </c>
      <c r="I19" s="17">
        <f t="shared" si="12"/>
        <v>0.29295029761449193</v>
      </c>
      <c r="J19" s="17">
        <f t="shared" si="12"/>
        <v>0.28837477313495619</v>
      </c>
      <c r="K19" s="17">
        <f t="shared" si="12"/>
        <v>0.28382194062506683</v>
      </c>
      <c r="L19" s="17">
        <f t="shared" si="12"/>
        <v>0.27929224622065058</v>
      </c>
      <c r="M19" s="17">
        <f t="shared" si="12"/>
        <v>0.24980558242100631</v>
      </c>
      <c r="N19" s="17">
        <f t="shared" si="12"/>
        <v>0.24550553973758954</v>
      </c>
      <c r="O19" s="17">
        <f t="shared" si="12"/>
        <v>0.24123110229911121</v>
      </c>
      <c r="P19" s="17">
        <f t="shared" si="12"/>
        <v>0.23698272103022852</v>
      </c>
      <c r="Q19" s="17">
        <f t="shared" si="12"/>
        <v>0.2327608497733149</v>
      </c>
      <c r="R19" s="17">
        <f t="shared" si="12"/>
        <v>0.22856594501886443</v>
      </c>
    </row>
    <row r="20" spans="2:18" ht="15" customHeight="1" x14ac:dyDescent="0.2">
      <c r="B20" s="15" t="s">
        <v>43</v>
      </c>
      <c r="C20" s="17">
        <f t="shared" ref="C20:R20" si="13">C4/C5</f>
        <v>0.5</v>
      </c>
      <c r="D20" s="17">
        <f t="shared" si="13"/>
        <v>0.49029126213592233</v>
      </c>
      <c r="E20" s="17">
        <f t="shared" si="13"/>
        <v>0.48077104345367139</v>
      </c>
      <c r="F20" s="17">
        <f t="shared" si="13"/>
        <v>0.47143568338660985</v>
      </c>
      <c r="G20" s="17">
        <f t="shared" si="13"/>
        <v>0.46228159244706407</v>
      </c>
      <c r="H20" s="17">
        <f t="shared" si="13"/>
        <v>0.4533052508461502</v>
      </c>
      <c r="I20" s="17">
        <f t="shared" si="13"/>
        <v>0.4445032071403997</v>
      </c>
      <c r="J20" s="17">
        <f t="shared" si="13"/>
        <v>0.43587207690466379</v>
      </c>
      <c r="K20" s="17">
        <f t="shared" si="13"/>
        <v>0.42740854143078683</v>
      </c>
      <c r="L20" s="17">
        <f t="shared" si="13"/>
        <v>0.41910934645154824</v>
      </c>
      <c r="M20" s="17">
        <f t="shared" si="13"/>
        <v>0.41097130088938227</v>
      </c>
      <c r="N20" s="17">
        <f t="shared" si="13"/>
        <v>0.40299127562939424</v>
      </c>
      <c r="O20" s="17">
        <f t="shared" si="13"/>
        <v>0.39516620231620209</v>
      </c>
      <c r="P20" s="17">
        <f t="shared" si="13"/>
        <v>0.38749307217413992</v>
      </c>
      <c r="Q20" s="17">
        <f t="shared" si="13"/>
        <v>0.3799689348503702</v>
      </c>
      <c r="R20" s="17">
        <f t="shared" si="13"/>
        <v>0.37259089728046008</v>
      </c>
    </row>
    <row r="21" spans="2:18" x14ac:dyDescent="0.2">
      <c r="B21" s="15"/>
    </row>
  </sheetData>
  <pageMargins left="0.7" right="0.7" top="0.75" bottom="0.75" header="0.3" footer="0.3"/>
  <pageSetup orientation="portrait" useFirstPageNumber="1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8"/>
  </sheetPr>
  <dimension ref="B2:G18"/>
  <sheetViews>
    <sheetView zoomScaleNormal="100" workbookViewId="0">
      <selection activeCell="H37" sqref="H37"/>
    </sheetView>
  </sheetViews>
  <sheetFormatPr baseColWidth="10" defaultColWidth="10.83203125" defaultRowHeight="16" customHeight="1" x14ac:dyDescent="0.2"/>
  <cols>
    <col min="1" max="1" width="10.83203125" style="2" customWidth="1"/>
    <col min="2" max="2" width="24" style="2" customWidth="1"/>
    <col min="3" max="3" width="26" style="2" customWidth="1"/>
    <col min="4" max="4" width="14" style="2" customWidth="1"/>
    <col min="5" max="6" width="10.83203125" style="2" customWidth="1"/>
    <col min="7" max="7" width="12.5" style="2" customWidth="1"/>
    <col min="8" max="8" width="10.83203125" style="2" customWidth="1"/>
    <col min="9" max="16384" width="10.83203125" style="2"/>
  </cols>
  <sheetData>
    <row r="2" spans="2:7" ht="16" customHeight="1" x14ac:dyDescent="0.2">
      <c r="B2" s="2" t="s">
        <v>44</v>
      </c>
      <c r="C2" s="2" t="s">
        <v>45</v>
      </c>
      <c r="D2" s="2" t="s">
        <v>46</v>
      </c>
      <c r="F2" s="2" t="s">
        <v>47</v>
      </c>
      <c r="G2" s="18">
        <v>100000</v>
      </c>
    </row>
    <row r="3" spans="2:7" ht="16" customHeight="1" x14ac:dyDescent="0.2">
      <c r="B3" s="2" t="s">
        <v>48</v>
      </c>
      <c r="C3" s="2" t="s">
        <v>49</v>
      </c>
      <c r="D3" s="19">
        <v>20000</v>
      </c>
      <c r="F3" s="2" t="s">
        <v>50</v>
      </c>
      <c r="G3" s="18">
        <v>25000</v>
      </c>
    </row>
    <row r="4" spans="2:7" ht="16" customHeight="1" x14ac:dyDescent="0.2">
      <c r="B4" s="2" t="s">
        <v>51</v>
      </c>
      <c r="C4" s="2" t="s">
        <v>52</v>
      </c>
      <c r="D4" s="19">
        <v>10000</v>
      </c>
      <c r="F4" s="2" t="s">
        <v>28</v>
      </c>
      <c r="G4" s="18">
        <v>2500</v>
      </c>
    </row>
    <row r="5" spans="2:7" ht="16" customHeight="1" x14ac:dyDescent="0.2">
      <c r="B5" s="2" t="s">
        <v>47</v>
      </c>
      <c r="C5" s="2" t="s">
        <v>53</v>
      </c>
      <c r="D5" s="19">
        <f>(G4+2000)*12</f>
        <v>54000</v>
      </c>
      <c r="F5" s="2" t="s">
        <v>54</v>
      </c>
      <c r="G5" s="2">
        <v>2</v>
      </c>
    </row>
    <row r="6" spans="2:7" ht="16" customHeight="1" x14ac:dyDescent="0.2">
      <c r="B6" s="2" t="s">
        <v>47</v>
      </c>
      <c r="C6" s="2" t="s">
        <v>49</v>
      </c>
      <c r="D6" s="19">
        <v>5000</v>
      </c>
    </row>
    <row r="7" spans="2:7" ht="16" customHeight="1" x14ac:dyDescent="0.2">
      <c r="B7" s="2" t="s">
        <v>47</v>
      </c>
      <c r="C7" s="2" t="s">
        <v>55</v>
      </c>
      <c r="D7" s="19">
        <f>G2-SUM(D5:D6)</f>
        <v>41000</v>
      </c>
    </row>
    <row r="8" spans="2:7" ht="16" customHeight="1" x14ac:dyDescent="0.2">
      <c r="B8" s="2" t="s">
        <v>55</v>
      </c>
      <c r="C8" s="2" t="s">
        <v>56</v>
      </c>
      <c r="D8" s="19">
        <f>(250*G5)*12</f>
        <v>6000</v>
      </c>
    </row>
    <row r="9" spans="2:7" ht="16" customHeight="1" x14ac:dyDescent="0.2">
      <c r="B9" s="2" t="s">
        <v>55</v>
      </c>
      <c r="C9" s="2" t="s">
        <v>57</v>
      </c>
      <c r="D9" s="19">
        <v>10000</v>
      </c>
    </row>
    <row r="10" spans="2:7" ht="16" customHeight="1" x14ac:dyDescent="0.2">
      <c r="B10" s="2" t="s">
        <v>55</v>
      </c>
      <c r="C10" s="2" t="s">
        <v>58</v>
      </c>
      <c r="D10" s="19">
        <v>12000</v>
      </c>
    </row>
    <row r="11" spans="2:7" ht="16" customHeight="1" x14ac:dyDescent="0.2">
      <c r="B11" s="2" t="s">
        <v>55</v>
      </c>
      <c r="C11" s="2" t="s">
        <v>52</v>
      </c>
      <c r="D11" s="19">
        <f>D7-SUM(D8:D10,D12)</f>
        <v>8000</v>
      </c>
    </row>
    <row r="12" spans="2:7" ht="16" customHeight="1" x14ac:dyDescent="0.2">
      <c r="B12" s="2" t="s">
        <v>55</v>
      </c>
      <c r="C12" s="2" t="s">
        <v>59</v>
      </c>
      <c r="D12" s="2">
        <v>5000</v>
      </c>
    </row>
    <row r="15" spans="2:7" ht="16" customHeight="1" x14ac:dyDescent="0.2">
      <c r="D15" s="19"/>
    </row>
    <row r="16" spans="2:7" ht="16" customHeight="1" x14ac:dyDescent="0.2">
      <c r="D16" s="19"/>
    </row>
    <row r="17" spans="4:4" ht="16" customHeight="1" x14ac:dyDescent="0.2">
      <c r="D17" s="19"/>
    </row>
    <row r="18" spans="4:4" ht="16" customHeight="1" x14ac:dyDescent="0.2">
      <c r="D18" s="19"/>
    </row>
  </sheetData>
  <pageMargins left="0.75" right="0.75" top="1" bottom="1" header="0.5" footer="0.5"/>
  <pageSetup orientation="portrait" useFirstPageNumber="1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B2:C7"/>
  <sheetViews>
    <sheetView zoomScaleNormal="100" workbookViewId="0">
      <selection activeCell="K21" sqref="K21"/>
    </sheetView>
  </sheetViews>
  <sheetFormatPr baseColWidth="10" defaultColWidth="8.83203125" defaultRowHeight="15" x14ac:dyDescent="0.2"/>
  <cols>
    <col min="1" max="1" width="4" customWidth="1"/>
    <col min="2" max="2" width="22" customWidth="1"/>
    <col min="3" max="3" width="18" customWidth="1"/>
  </cols>
  <sheetData>
    <row r="2" spans="2:3" x14ac:dyDescent="0.2">
      <c r="B2" t="s">
        <v>60</v>
      </c>
      <c r="C2" t="s">
        <v>61</v>
      </c>
    </row>
    <row r="3" spans="2:3" x14ac:dyDescent="0.2">
      <c r="B3" t="s">
        <v>62</v>
      </c>
      <c r="C3" s="20">
        <v>400000</v>
      </c>
    </row>
    <row r="4" spans="2:3" x14ac:dyDescent="0.2">
      <c r="B4" t="s">
        <v>63</v>
      </c>
      <c r="C4" s="21">
        <v>45139</v>
      </c>
    </row>
    <row r="5" spans="2:3" x14ac:dyDescent="0.2">
      <c r="B5" t="s">
        <v>64</v>
      </c>
      <c r="C5">
        <v>30</v>
      </c>
    </row>
    <row r="6" spans="2:3" x14ac:dyDescent="0.2">
      <c r="B6" t="s">
        <v>65</v>
      </c>
      <c r="C6" s="17">
        <v>0.06</v>
      </c>
    </row>
    <row r="7" spans="2:3" x14ac:dyDescent="0.2">
      <c r="B7" t="s">
        <v>66</v>
      </c>
      <c r="C7" s="22">
        <f>PMT(C6/12,C5*12,C3)</f>
        <v>-2398.2021006110094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8"/>
  </sheetPr>
  <dimension ref="B1:EY8"/>
  <sheetViews>
    <sheetView zoomScaleNormal="100" workbookViewId="0">
      <selection activeCell="F4" sqref="F4"/>
    </sheetView>
  </sheetViews>
  <sheetFormatPr baseColWidth="10" defaultColWidth="8.83203125" defaultRowHeight="15" x14ac:dyDescent="0.2"/>
  <cols>
    <col min="2" max="2" width="5.33203125" customWidth="1"/>
    <col min="3" max="4" width="14.1640625" customWidth="1"/>
    <col min="5" max="5" width="15.6640625" customWidth="1"/>
    <col min="6" max="6" width="17.83203125" customWidth="1"/>
    <col min="49" max="52" width="6.83203125" customWidth="1"/>
    <col min="53" max="53" width="20.6640625" customWidth="1"/>
    <col min="54" max="54" width="6.83203125" customWidth="1"/>
    <col min="55" max="57" width="7.83203125" customWidth="1"/>
    <col min="58" max="66" width="6.83203125" customWidth="1"/>
    <col min="67" max="68" width="7.83203125" customWidth="1"/>
    <col min="69" max="69" width="28.1640625" customWidth="1"/>
    <col min="70" max="78" width="6.83203125" customWidth="1"/>
    <col min="79" max="81" width="7.83203125" customWidth="1"/>
    <col min="82" max="90" width="6.83203125" customWidth="1"/>
    <col min="91" max="92" width="7.83203125" customWidth="1"/>
    <col min="93" max="93" width="15.33203125" customWidth="1"/>
    <col min="94" max="102" width="6.83203125" customWidth="1"/>
    <col min="103" max="105" width="7.83203125" customWidth="1"/>
    <col min="106" max="112" width="6.83203125" customWidth="1"/>
    <col min="113" max="113" width="15.5" customWidth="1"/>
    <col min="114" max="114" width="6.83203125" customWidth="1"/>
    <col min="115" max="117" width="7.83203125" customWidth="1"/>
    <col min="118" max="126" width="6.83203125" customWidth="1"/>
    <col min="127" max="129" width="7.83203125" customWidth="1"/>
    <col min="130" max="138" width="6.83203125" customWidth="1"/>
    <col min="139" max="141" width="7.83203125" customWidth="1"/>
    <col min="142" max="150" width="6.83203125" customWidth="1"/>
    <col min="151" max="153" width="7.83203125" customWidth="1"/>
    <col min="154" max="154" width="15.6640625" customWidth="1"/>
    <col min="155" max="155" width="6.83203125" customWidth="1"/>
  </cols>
  <sheetData>
    <row r="1" spans="2:155" x14ac:dyDescent="0.2"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 t="s">
        <v>67</v>
      </c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 t="s">
        <v>68</v>
      </c>
      <c r="BR1" s="23"/>
      <c r="BS1" s="23"/>
      <c r="BT1" s="23"/>
      <c r="BU1" s="23"/>
      <c r="BV1" s="23"/>
      <c r="BW1" s="23"/>
      <c r="BX1" s="23"/>
      <c r="BY1" s="23"/>
      <c r="BZ1" s="23"/>
      <c r="CA1" s="23"/>
      <c r="CB1" s="23"/>
      <c r="CC1" s="23"/>
      <c r="CD1" s="23"/>
      <c r="CE1" s="23"/>
      <c r="CF1" s="23"/>
      <c r="CG1" s="23"/>
      <c r="CH1" s="23"/>
      <c r="CI1" s="23"/>
      <c r="CJ1" s="23"/>
      <c r="CK1" s="23"/>
      <c r="CL1" s="23"/>
      <c r="CM1" s="23"/>
      <c r="CN1" s="23"/>
      <c r="CO1" s="23" t="s">
        <v>69</v>
      </c>
      <c r="CP1" s="23"/>
      <c r="CQ1" s="23"/>
      <c r="CR1" s="23"/>
      <c r="CS1" s="23"/>
      <c r="CT1" s="23"/>
      <c r="CU1" s="23"/>
      <c r="CV1" s="23"/>
      <c r="CW1" s="23"/>
      <c r="CX1" s="23"/>
      <c r="CY1" s="23"/>
      <c r="CZ1" s="23"/>
      <c r="DA1" s="23"/>
      <c r="DB1" s="23"/>
      <c r="DC1" s="23"/>
      <c r="DD1" s="23"/>
      <c r="DE1" s="23"/>
      <c r="DF1" s="23"/>
      <c r="DG1" s="23"/>
      <c r="DH1" s="23"/>
      <c r="DI1" s="23" t="s">
        <v>70</v>
      </c>
      <c r="DJ1" s="23"/>
      <c r="DK1" s="23"/>
      <c r="DL1" s="23"/>
      <c r="DM1" s="23"/>
      <c r="DN1" s="23"/>
      <c r="DO1" s="23"/>
      <c r="DP1" s="23"/>
      <c r="DQ1" s="23"/>
      <c r="DR1" s="23"/>
      <c r="DS1" s="23"/>
      <c r="DT1" s="23"/>
      <c r="DU1" s="23"/>
      <c r="DV1" s="23"/>
      <c r="DW1" s="23"/>
      <c r="DX1" s="23"/>
      <c r="DY1" s="23"/>
      <c r="DZ1" s="23"/>
      <c r="EA1" s="23"/>
      <c r="EB1" s="23"/>
      <c r="EC1" s="23"/>
      <c r="ED1" s="23"/>
      <c r="EE1" s="23"/>
      <c r="EF1" s="23"/>
      <c r="EG1" s="23"/>
      <c r="EH1" s="23"/>
      <c r="EI1" s="23"/>
      <c r="EJ1" s="23"/>
      <c r="EK1" s="23"/>
      <c r="EL1" s="23"/>
      <c r="EM1" s="23"/>
      <c r="EN1" s="23"/>
      <c r="EO1" s="23"/>
      <c r="EP1" s="23"/>
      <c r="EQ1" s="23"/>
      <c r="ER1" s="23"/>
      <c r="ES1" s="23"/>
      <c r="ET1" s="23"/>
      <c r="EU1" s="23"/>
      <c r="EV1" s="23"/>
      <c r="EW1" s="23"/>
      <c r="EX1" s="23" t="s">
        <v>71</v>
      </c>
      <c r="EY1" s="23"/>
    </row>
    <row r="2" spans="2:155" x14ac:dyDescent="0.2">
      <c r="B2" s="24" t="s">
        <v>72</v>
      </c>
      <c r="C2" s="24" t="s">
        <v>73</v>
      </c>
      <c r="D2" s="24" t="s">
        <v>74</v>
      </c>
      <c r="E2" s="24" t="s">
        <v>75</v>
      </c>
      <c r="F2" s="24" t="s">
        <v>76</v>
      </c>
      <c r="G2" s="25">
        <v>43831</v>
      </c>
      <c r="H2" s="25">
        <v>44197</v>
      </c>
      <c r="I2" s="25">
        <v>44562</v>
      </c>
      <c r="J2" s="25">
        <v>44927</v>
      </c>
      <c r="K2" s="25">
        <v>44958</v>
      </c>
      <c r="L2" s="25">
        <v>44986</v>
      </c>
      <c r="M2" s="25">
        <v>45017</v>
      </c>
      <c r="N2" s="25">
        <v>45047</v>
      </c>
      <c r="O2" s="25">
        <v>45078</v>
      </c>
      <c r="P2" s="25">
        <v>45108</v>
      </c>
      <c r="Q2" s="25">
        <v>45139</v>
      </c>
      <c r="R2" s="25">
        <v>45170</v>
      </c>
      <c r="S2" s="25">
        <v>45200</v>
      </c>
      <c r="T2" s="25">
        <v>45231</v>
      </c>
      <c r="U2" s="25">
        <v>45261</v>
      </c>
      <c r="V2" s="25">
        <v>45292</v>
      </c>
      <c r="W2" s="25">
        <v>45323</v>
      </c>
      <c r="X2" s="25">
        <v>45352</v>
      </c>
      <c r="Y2" s="25">
        <v>45383</v>
      </c>
      <c r="Z2" s="25">
        <v>45413</v>
      </c>
      <c r="AA2" s="25">
        <v>45444</v>
      </c>
      <c r="AB2" s="25">
        <v>45474</v>
      </c>
      <c r="AC2" s="25">
        <v>45505</v>
      </c>
      <c r="AD2" s="25">
        <v>45536</v>
      </c>
      <c r="AE2" s="25">
        <v>45566</v>
      </c>
      <c r="AF2" s="25">
        <v>45597</v>
      </c>
      <c r="AG2" s="25">
        <v>45627</v>
      </c>
      <c r="AH2" s="25">
        <v>45658</v>
      </c>
      <c r="AI2" s="25">
        <v>45689</v>
      </c>
      <c r="AJ2" s="25">
        <v>45717</v>
      </c>
      <c r="AK2" s="25">
        <v>45748</v>
      </c>
      <c r="AL2" s="25">
        <v>45778</v>
      </c>
      <c r="AM2" s="25">
        <v>45809</v>
      </c>
      <c r="AN2" s="25">
        <v>45839</v>
      </c>
      <c r="AO2" s="25">
        <v>45870</v>
      </c>
      <c r="AP2" s="25">
        <v>45901</v>
      </c>
      <c r="AQ2" s="25">
        <v>45931</v>
      </c>
      <c r="AR2" s="25">
        <v>45962</v>
      </c>
      <c r="AS2" s="25">
        <v>45992</v>
      </c>
      <c r="AT2" s="25">
        <v>46023</v>
      </c>
      <c r="AU2" s="25">
        <v>46054</v>
      </c>
      <c r="AV2" s="25">
        <v>46082</v>
      </c>
      <c r="AW2" s="25">
        <v>46113</v>
      </c>
      <c r="AX2" s="25">
        <v>46143</v>
      </c>
      <c r="AY2" s="25">
        <v>46174</v>
      </c>
      <c r="AZ2" s="25">
        <v>46204</v>
      </c>
      <c r="BA2" s="25">
        <v>46235</v>
      </c>
      <c r="BB2" s="25">
        <v>46266</v>
      </c>
      <c r="BC2" s="25">
        <v>46296</v>
      </c>
      <c r="BD2" s="25">
        <v>46327</v>
      </c>
      <c r="BE2" s="25">
        <v>46357</v>
      </c>
      <c r="BF2" s="25">
        <v>46388</v>
      </c>
      <c r="BG2" s="25">
        <v>46419</v>
      </c>
      <c r="BH2" s="25">
        <v>46447</v>
      </c>
      <c r="BI2" s="25">
        <v>46478</v>
      </c>
      <c r="BJ2" s="25">
        <v>46508</v>
      </c>
      <c r="BK2" s="25">
        <v>46539</v>
      </c>
      <c r="BL2" s="25">
        <v>46569</v>
      </c>
      <c r="BM2" s="25">
        <v>46600</v>
      </c>
      <c r="BN2" s="25">
        <v>46631</v>
      </c>
      <c r="BO2" s="25">
        <v>46661</v>
      </c>
      <c r="BP2" s="25">
        <v>46692</v>
      </c>
      <c r="BQ2" s="25">
        <v>46722</v>
      </c>
      <c r="BR2" s="25">
        <v>46753</v>
      </c>
      <c r="BS2" s="25">
        <v>46784</v>
      </c>
      <c r="BT2" s="25">
        <v>46813</v>
      </c>
      <c r="BU2" s="25">
        <v>46844</v>
      </c>
      <c r="BV2" s="25">
        <v>46874</v>
      </c>
      <c r="BW2" s="25">
        <v>46905</v>
      </c>
      <c r="BX2" s="25">
        <v>46935</v>
      </c>
      <c r="BY2" s="25">
        <v>46966</v>
      </c>
      <c r="BZ2" s="25">
        <v>46997</v>
      </c>
      <c r="CA2" s="25">
        <v>47027</v>
      </c>
      <c r="CB2" s="25">
        <v>47058</v>
      </c>
      <c r="CC2" s="25">
        <v>47088</v>
      </c>
      <c r="CD2" s="25">
        <v>47119</v>
      </c>
      <c r="CE2" s="25">
        <v>47150</v>
      </c>
      <c r="CF2" s="25">
        <v>47178</v>
      </c>
      <c r="CG2" s="25">
        <v>47209</v>
      </c>
      <c r="CH2" s="25">
        <v>47239</v>
      </c>
      <c r="CI2" s="25">
        <v>47270</v>
      </c>
      <c r="CJ2" s="25">
        <v>47300</v>
      </c>
      <c r="CK2" s="25">
        <v>47331</v>
      </c>
      <c r="CL2" s="25">
        <v>47362</v>
      </c>
      <c r="CM2" s="25">
        <v>47392</v>
      </c>
      <c r="CN2" s="25">
        <v>47423</v>
      </c>
      <c r="CO2" s="25">
        <v>47453</v>
      </c>
      <c r="CP2" s="25">
        <v>10959</v>
      </c>
      <c r="CQ2" s="25">
        <v>10990</v>
      </c>
      <c r="CR2" s="25">
        <v>11018</v>
      </c>
      <c r="CS2" s="25">
        <v>11049</v>
      </c>
      <c r="CT2" s="25">
        <v>11079</v>
      </c>
      <c r="CU2" s="25">
        <v>11110</v>
      </c>
      <c r="CV2" s="25">
        <v>11140</v>
      </c>
      <c r="CW2" s="25">
        <v>11171</v>
      </c>
      <c r="CX2" s="25">
        <v>11202</v>
      </c>
      <c r="CY2" s="25">
        <v>11232</v>
      </c>
      <c r="CZ2" s="25">
        <v>11263</v>
      </c>
      <c r="DA2" s="25">
        <v>11293</v>
      </c>
      <c r="DB2" s="25">
        <v>11324</v>
      </c>
      <c r="DC2" s="25">
        <v>11355</v>
      </c>
      <c r="DD2" s="25">
        <v>11383</v>
      </c>
      <c r="DE2" s="25">
        <v>11414</v>
      </c>
      <c r="DF2" s="25">
        <v>11444</v>
      </c>
      <c r="DG2" s="25">
        <v>11475</v>
      </c>
      <c r="DH2" s="25">
        <v>11505</v>
      </c>
      <c r="DI2" s="25">
        <v>11536</v>
      </c>
      <c r="DJ2" s="25">
        <v>11567</v>
      </c>
      <c r="DK2" s="25">
        <v>11597</v>
      </c>
      <c r="DL2" s="25">
        <v>11628</v>
      </c>
      <c r="DM2" s="25">
        <v>11658</v>
      </c>
      <c r="DN2" s="25">
        <v>11689</v>
      </c>
      <c r="DO2" s="25">
        <v>11720</v>
      </c>
      <c r="DP2" s="25">
        <v>11749</v>
      </c>
      <c r="DQ2" s="25">
        <v>11780</v>
      </c>
      <c r="DR2" s="25">
        <v>11810</v>
      </c>
      <c r="DS2" s="25">
        <v>11841</v>
      </c>
      <c r="DT2" s="25">
        <v>11871</v>
      </c>
      <c r="DU2" s="25">
        <v>11902</v>
      </c>
      <c r="DV2" s="25">
        <v>11933</v>
      </c>
      <c r="DW2" s="25">
        <v>11963</v>
      </c>
      <c r="DX2" s="25">
        <v>11994</v>
      </c>
      <c r="DY2" s="25">
        <v>12024</v>
      </c>
      <c r="DZ2" s="25">
        <v>12055</v>
      </c>
      <c r="EA2" s="25">
        <v>12086</v>
      </c>
      <c r="EB2" s="25">
        <v>12114</v>
      </c>
      <c r="EC2" s="25">
        <v>12145</v>
      </c>
      <c r="ED2" s="25">
        <v>12175</v>
      </c>
      <c r="EE2" s="25">
        <v>12206</v>
      </c>
      <c r="EF2" s="25">
        <v>12236</v>
      </c>
      <c r="EG2" s="25">
        <v>12267</v>
      </c>
      <c r="EH2" s="25">
        <v>12298</v>
      </c>
      <c r="EI2" s="25">
        <v>12328</v>
      </c>
      <c r="EJ2" s="25">
        <v>12359</v>
      </c>
      <c r="EK2" s="25">
        <v>12389</v>
      </c>
      <c r="EL2" s="25">
        <v>12420</v>
      </c>
      <c r="EM2" s="25">
        <v>12451</v>
      </c>
      <c r="EN2" s="25">
        <v>12479</v>
      </c>
      <c r="EO2" s="25">
        <v>12510</v>
      </c>
      <c r="EP2" s="25">
        <v>12540</v>
      </c>
      <c r="EQ2" s="25">
        <v>12571</v>
      </c>
      <c r="ER2" s="25">
        <v>12601</v>
      </c>
      <c r="ES2" s="25">
        <v>12632</v>
      </c>
      <c r="ET2" s="25">
        <v>12663</v>
      </c>
      <c r="EU2" s="25">
        <v>12693</v>
      </c>
      <c r="EV2" s="25">
        <v>12724</v>
      </c>
      <c r="EW2" s="25">
        <v>12754</v>
      </c>
      <c r="EX2" s="25">
        <v>12785</v>
      </c>
      <c r="EY2" s="25">
        <v>12816</v>
      </c>
    </row>
    <row r="3" spans="2:155" x14ac:dyDescent="0.2">
      <c r="B3" s="23" t="s">
        <v>77</v>
      </c>
      <c r="C3" s="26">
        <v>25000</v>
      </c>
      <c r="D3" s="26">
        <f>C3*4</f>
        <v>100000</v>
      </c>
      <c r="E3" s="27">
        <v>49536</v>
      </c>
      <c r="F3" s="26">
        <v>350</v>
      </c>
      <c r="G3" s="28">
        <v>20000</v>
      </c>
      <c r="H3" s="28">
        <f ca="1">G3+G3*(RAND()*(0.15--0.15)+-0.15)/12+$F3</f>
        <v>20333.331345509072</v>
      </c>
      <c r="I3" s="28">
        <f t="shared" ref="I3:AV3" ca="1" si="0">H3+H3*(RAND()*(0.15--0.15)+-0.15)/12+$F3</f>
        <v>20695.746566204089</v>
      </c>
      <c r="J3" s="28">
        <f t="shared" ca="1" si="0"/>
        <v>21000.985895887297</v>
      </c>
      <c r="K3" s="28">
        <f t="shared" ca="1" si="0"/>
        <v>21501.571886951027</v>
      </c>
      <c r="L3" s="28">
        <f t="shared" ca="1" si="0"/>
        <v>21715.600170157675</v>
      </c>
      <c r="M3" s="28">
        <f t="shared" ca="1" si="0"/>
        <v>21866.48555287224</v>
      </c>
      <c r="N3" s="28">
        <f t="shared" ca="1" si="0"/>
        <v>22382.761069086231</v>
      </c>
      <c r="O3" s="28">
        <f t="shared" ca="1" si="0"/>
        <v>22965.56034175435</v>
      </c>
      <c r="P3" s="28">
        <f t="shared" ca="1" si="0"/>
        <v>23374.197938649904</v>
      </c>
      <c r="Q3" s="28">
        <f t="shared" ca="1" si="0"/>
        <v>23680.137085556671</v>
      </c>
      <c r="R3" s="28">
        <f t="shared" ca="1" si="0"/>
        <v>24015.230610610055</v>
      </c>
      <c r="S3" s="28">
        <f t="shared" ca="1" si="0"/>
        <v>24366.68568195144</v>
      </c>
      <c r="T3" s="28">
        <f t="shared" ca="1" si="0"/>
        <v>24805.332649296553</v>
      </c>
      <c r="U3" s="28">
        <f t="shared" ca="1" si="0"/>
        <v>25064.717549277389</v>
      </c>
      <c r="V3" s="28">
        <f t="shared" ca="1" si="0"/>
        <v>25686.21780372283</v>
      </c>
      <c r="W3" s="28">
        <f t="shared" ca="1" si="0"/>
        <v>25937.263748328951</v>
      </c>
      <c r="X3" s="28">
        <f t="shared" ca="1" si="0"/>
        <v>26134.999722224147</v>
      </c>
      <c r="Y3" s="28">
        <f t="shared" ca="1" si="0"/>
        <v>26774.33469494259</v>
      </c>
      <c r="Z3" s="28">
        <f t="shared" ca="1" si="0"/>
        <v>26905.848564399359</v>
      </c>
      <c r="AA3" s="28">
        <f t="shared" ca="1" si="0"/>
        <v>27439.359733899568</v>
      </c>
      <c r="AB3" s="28">
        <f t="shared" ca="1" si="0"/>
        <v>27674.934643894168</v>
      </c>
      <c r="AC3" s="28">
        <f t="shared" ca="1" si="0"/>
        <v>28045.262383072597</v>
      </c>
      <c r="AD3" s="28">
        <f t="shared" ca="1" si="0"/>
        <v>28403.569653486597</v>
      </c>
      <c r="AE3" s="28">
        <f t="shared" ca="1" si="0"/>
        <v>28771.642411445107</v>
      </c>
      <c r="AF3" s="28">
        <f t="shared" ca="1" si="0"/>
        <v>29430.194470862534</v>
      </c>
      <c r="AG3" s="28">
        <f t="shared" ca="1" si="0"/>
        <v>29811.522137242195</v>
      </c>
      <c r="AH3" s="28">
        <f t="shared" ca="1" si="0"/>
        <v>30095.938366139522</v>
      </c>
      <c r="AI3" s="28">
        <f t="shared" ca="1" si="0"/>
        <v>30794.636738104764</v>
      </c>
      <c r="AJ3" s="28">
        <f t="shared" ca="1" si="0"/>
        <v>31402.881402342784</v>
      </c>
      <c r="AK3" s="28">
        <f t="shared" ca="1" si="0"/>
        <v>31643.168666940797</v>
      </c>
      <c r="AL3" s="28">
        <f t="shared" ca="1" si="0"/>
        <v>31604.832715341912</v>
      </c>
      <c r="AM3" s="28">
        <f t="shared" ca="1" si="0"/>
        <v>32177.538937543668</v>
      </c>
      <c r="AN3" s="28">
        <f t="shared" ca="1" si="0"/>
        <v>32736.192990002965</v>
      </c>
      <c r="AO3" s="28">
        <f t="shared" ca="1" si="0"/>
        <v>33053.427408738149</v>
      </c>
      <c r="AP3" s="28">
        <f t="shared" ca="1" si="0"/>
        <v>33069.206498915853</v>
      </c>
      <c r="AQ3" s="28">
        <f t="shared" ca="1" si="0"/>
        <v>33816.652369978554</v>
      </c>
      <c r="AR3" s="28">
        <f t="shared" ca="1" si="0"/>
        <v>34176.702887791173</v>
      </c>
      <c r="AS3" s="28">
        <f t="shared" ca="1" si="0"/>
        <v>34715.014176095414</v>
      </c>
      <c r="AT3" s="28">
        <f t="shared" ca="1" si="0"/>
        <v>34818.910435574391</v>
      </c>
      <c r="AU3" s="28">
        <f t="shared" ca="1" si="0"/>
        <v>35382.755809171962</v>
      </c>
      <c r="AV3" s="28">
        <f t="shared" ca="1" si="0"/>
        <v>35333.549605146523</v>
      </c>
      <c r="AW3" s="28"/>
      <c r="AX3" s="28"/>
      <c r="AY3" s="28"/>
      <c r="AZ3" s="28"/>
      <c r="BA3" s="28"/>
      <c r="BB3" s="28"/>
      <c r="BC3" s="28"/>
      <c r="BD3" s="28"/>
      <c r="BE3" s="28"/>
      <c r="BF3" s="28"/>
      <c r="BG3" s="28"/>
      <c r="BH3" s="28"/>
      <c r="BI3" s="28"/>
      <c r="BJ3" s="28"/>
      <c r="BK3" s="28"/>
      <c r="BL3" s="28"/>
      <c r="BM3" s="28"/>
      <c r="BN3" s="28"/>
      <c r="BO3" s="28"/>
      <c r="BP3" s="28"/>
      <c r="BQ3" s="28"/>
      <c r="BR3" s="28"/>
      <c r="BS3" s="28"/>
      <c r="BT3" s="28"/>
      <c r="BU3" s="28"/>
      <c r="BV3" s="28"/>
      <c r="BW3" s="28"/>
      <c r="BX3" s="28"/>
      <c r="BY3" s="28"/>
      <c r="BZ3" s="28"/>
      <c r="CA3" s="28"/>
      <c r="CB3" s="28"/>
      <c r="CC3" s="28"/>
      <c r="CD3" s="28"/>
      <c r="CE3" s="28"/>
      <c r="CF3" s="28"/>
      <c r="CG3" s="28"/>
      <c r="CH3" s="28"/>
      <c r="CI3" s="28"/>
      <c r="CJ3" s="28"/>
      <c r="CK3" s="28"/>
      <c r="CL3" s="28"/>
      <c r="CM3" s="28"/>
      <c r="CN3" s="28"/>
      <c r="CO3" s="28"/>
      <c r="CP3" s="28"/>
      <c r="CQ3" s="28"/>
      <c r="CR3" s="28"/>
      <c r="CS3" s="28"/>
      <c r="CT3" s="28"/>
      <c r="CU3" s="28"/>
      <c r="CV3" s="28"/>
      <c r="CW3" s="28"/>
      <c r="CX3" s="28"/>
      <c r="CY3" s="28"/>
      <c r="CZ3" s="28"/>
      <c r="DA3" s="28"/>
      <c r="DB3" s="28"/>
      <c r="DC3" s="28"/>
      <c r="DD3" s="28"/>
      <c r="DE3" s="28"/>
      <c r="DF3" s="28"/>
      <c r="DG3" s="28"/>
      <c r="DH3" s="28"/>
      <c r="DI3" s="28"/>
      <c r="DJ3" s="28"/>
      <c r="DK3" s="28"/>
      <c r="DL3" s="28"/>
      <c r="DM3" s="28"/>
      <c r="DN3" s="28"/>
      <c r="DO3" s="28"/>
      <c r="DP3" s="28"/>
      <c r="DQ3" s="28"/>
      <c r="DR3" s="28"/>
      <c r="DS3" s="28"/>
      <c r="DT3" s="28"/>
      <c r="DU3" s="28"/>
      <c r="DV3" s="28"/>
      <c r="DW3" s="28"/>
      <c r="DX3" s="28"/>
      <c r="DY3" s="28"/>
      <c r="DZ3" s="28"/>
      <c r="EA3" s="28"/>
      <c r="EB3" s="28"/>
      <c r="EC3" s="28"/>
      <c r="ED3" s="28"/>
      <c r="EE3" s="28"/>
      <c r="EF3" s="28"/>
      <c r="EG3" s="28"/>
      <c r="EH3" s="28"/>
      <c r="EI3" s="28"/>
      <c r="EJ3" s="28"/>
      <c r="EK3" s="28"/>
      <c r="EL3" s="28"/>
      <c r="EM3" s="28"/>
      <c r="EN3" s="28"/>
      <c r="EO3" s="28"/>
      <c r="EP3" s="28"/>
      <c r="EQ3" s="28"/>
      <c r="ER3" s="28"/>
      <c r="ES3" s="28"/>
      <c r="ET3" s="28"/>
      <c r="EU3" s="28"/>
      <c r="EV3" s="28"/>
      <c r="EW3" s="28"/>
      <c r="EX3" s="28"/>
      <c r="EY3" s="28"/>
    </row>
    <row r="4" spans="2:155" x14ac:dyDescent="0.2">
      <c r="B4" s="23" t="s">
        <v>78</v>
      </c>
      <c r="C4" s="26">
        <v>30000</v>
      </c>
      <c r="D4" s="26">
        <f>C4*4</f>
        <v>120000</v>
      </c>
      <c r="E4" s="27">
        <v>50632</v>
      </c>
      <c r="F4" s="26">
        <v>150</v>
      </c>
      <c r="G4" s="28">
        <v>15000</v>
      </c>
      <c r="H4" s="28">
        <f t="shared" ref="H4:AV4" ca="1" si="1">G4+G4*(RAND()*(0.15--0.15)+-0.15)/12+$F4</f>
        <v>15274.43791666073</v>
      </c>
      <c r="I4" s="28">
        <f t="shared" ca="1" si="1"/>
        <v>15441.370353455148</v>
      </c>
      <c r="J4" s="28">
        <f t="shared" ca="1" si="1"/>
        <v>15466.042025237533</v>
      </c>
      <c r="K4" s="28">
        <f t="shared" ca="1" si="1"/>
        <v>15635.562425435824</v>
      </c>
      <c r="L4" s="28">
        <f t="shared" ca="1" si="1"/>
        <v>15836.157230724946</v>
      </c>
      <c r="M4" s="28">
        <f t="shared" ca="1" si="1"/>
        <v>15865.213435331327</v>
      </c>
      <c r="N4" s="28">
        <f t="shared" ca="1" si="1"/>
        <v>15934.313013362902</v>
      </c>
      <c r="O4" s="28">
        <f t="shared" ca="1" si="1"/>
        <v>16024.861186304519</v>
      </c>
      <c r="P4" s="28">
        <f t="shared" ca="1" si="1"/>
        <v>16226.172770513007</v>
      </c>
      <c r="Q4" s="28">
        <f t="shared" ca="1" si="1"/>
        <v>16198.327327817855</v>
      </c>
      <c r="R4" s="28">
        <f t="shared" ca="1" si="1"/>
        <v>16250.129729808908</v>
      </c>
      <c r="S4" s="28">
        <f t="shared" ca="1" si="1"/>
        <v>16317.139730047715</v>
      </c>
      <c r="T4" s="28">
        <f t="shared" ca="1" si="1"/>
        <v>16332.933718545093</v>
      </c>
      <c r="U4" s="28">
        <f t="shared" ca="1" si="1"/>
        <v>16470.996758068672</v>
      </c>
      <c r="V4" s="28">
        <f t="shared" ca="1" si="1"/>
        <v>16513.240498314099</v>
      </c>
      <c r="W4" s="28">
        <f t="shared" ca="1" si="1"/>
        <v>16837.735323620418</v>
      </c>
      <c r="X4" s="28">
        <f t="shared" ca="1" si="1"/>
        <v>16970.14578799855</v>
      </c>
      <c r="Y4" s="28">
        <f t="shared" ca="1" si="1"/>
        <v>17242.861499159517</v>
      </c>
      <c r="Z4" s="28">
        <f t="shared" ca="1" si="1"/>
        <v>17388.422726571236</v>
      </c>
      <c r="AA4" s="28">
        <f t="shared" ca="1" si="1"/>
        <v>17357.203504018657</v>
      </c>
      <c r="AB4" s="28">
        <f t="shared" ca="1" si="1"/>
        <v>17550.706100451531</v>
      </c>
      <c r="AC4" s="28">
        <f t="shared" ca="1" si="1"/>
        <v>17813.747154894063</v>
      </c>
      <c r="AD4" s="28">
        <f t="shared" ca="1" si="1"/>
        <v>18102.265125828715</v>
      </c>
      <c r="AE4" s="28">
        <f t="shared" ca="1" si="1"/>
        <v>18178.87951591887</v>
      </c>
      <c r="AF4" s="28">
        <f t="shared" ca="1" si="1"/>
        <v>18255.839977542539</v>
      </c>
      <c r="AG4" s="28">
        <f t="shared" ca="1" si="1"/>
        <v>18611.491099486273</v>
      </c>
      <c r="AH4" s="28">
        <f t="shared" ca="1" si="1"/>
        <v>18756.75795742642</v>
      </c>
      <c r="AI4" s="28">
        <f t="shared" ca="1" si="1"/>
        <v>18759.074256110183</v>
      </c>
      <c r="AJ4" s="28">
        <f t="shared" ca="1" si="1"/>
        <v>18762.987437397634</v>
      </c>
      <c r="AK4" s="28">
        <f t="shared" ca="1" si="1"/>
        <v>19111.302336837343</v>
      </c>
      <c r="AL4" s="28">
        <f t="shared" ca="1" si="1"/>
        <v>19331.183887792035</v>
      </c>
      <c r="AM4" s="28">
        <f t="shared" ca="1" si="1"/>
        <v>19415.373784073639</v>
      </c>
      <c r="AN4" s="28">
        <f t="shared" ca="1" si="1"/>
        <v>19326.311137932084</v>
      </c>
      <c r="AO4" s="28">
        <f t="shared" ca="1" si="1"/>
        <v>19471.436147429591</v>
      </c>
      <c r="AP4" s="28">
        <f t="shared" ca="1" si="1"/>
        <v>19647.476382333229</v>
      </c>
      <c r="AQ4" s="28">
        <f t="shared" ca="1" si="1"/>
        <v>19704.398272725746</v>
      </c>
      <c r="AR4" s="28">
        <f t="shared" ca="1" si="1"/>
        <v>19896.653406360281</v>
      </c>
      <c r="AS4" s="28">
        <f t="shared" ca="1" si="1"/>
        <v>20020.853819881246</v>
      </c>
      <c r="AT4" s="28">
        <f t="shared" ca="1" si="1"/>
        <v>20320.24641416753</v>
      </c>
      <c r="AU4" s="28">
        <f t="shared" ca="1" si="1"/>
        <v>20472.51496275586</v>
      </c>
      <c r="AV4" s="28">
        <f t="shared" ca="1" si="1"/>
        <v>20635.620979927178</v>
      </c>
      <c r="AW4" s="28"/>
      <c r="AX4" s="28"/>
      <c r="AY4" s="28"/>
      <c r="AZ4" s="28"/>
      <c r="BA4" s="28"/>
      <c r="BB4" s="28"/>
      <c r="BC4" s="28"/>
      <c r="BD4" s="28"/>
      <c r="BE4" s="28"/>
      <c r="BF4" s="28"/>
      <c r="BG4" s="28"/>
      <c r="BH4" s="28"/>
      <c r="BI4" s="28"/>
      <c r="BJ4" s="28"/>
      <c r="BK4" s="28"/>
      <c r="BL4" s="28"/>
      <c r="BM4" s="28"/>
      <c r="BN4" s="28"/>
      <c r="BO4" s="28"/>
      <c r="BP4" s="28"/>
      <c r="BQ4" s="28"/>
      <c r="BR4" s="28"/>
      <c r="BS4" s="28"/>
      <c r="BT4" s="28"/>
      <c r="BU4" s="28"/>
      <c r="BV4" s="28"/>
      <c r="BW4" s="28"/>
      <c r="BX4" s="28"/>
      <c r="BY4" s="28"/>
      <c r="BZ4" s="28"/>
      <c r="CA4" s="28"/>
      <c r="CB4" s="28"/>
      <c r="CC4" s="28"/>
      <c r="CD4" s="28"/>
      <c r="CE4" s="28"/>
      <c r="CF4" s="28"/>
      <c r="CG4" s="28"/>
      <c r="CH4" s="28"/>
      <c r="CI4" s="28"/>
      <c r="CJ4" s="28"/>
      <c r="CK4" s="28"/>
      <c r="CL4" s="28"/>
      <c r="CM4" s="28"/>
      <c r="CN4" s="28"/>
      <c r="CO4" s="28"/>
      <c r="CP4" s="28"/>
      <c r="CQ4" s="28"/>
      <c r="CR4" s="28"/>
      <c r="CS4" s="28"/>
      <c r="CT4" s="28"/>
      <c r="CU4" s="28"/>
      <c r="CV4" s="28"/>
      <c r="CW4" s="28"/>
      <c r="CX4" s="28"/>
      <c r="CY4" s="28"/>
      <c r="CZ4" s="28"/>
      <c r="DA4" s="28"/>
      <c r="DB4" s="28"/>
      <c r="DC4" s="28"/>
      <c r="DD4" s="28"/>
      <c r="DE4" s="28"/>
      <c r="DF4" s="28"/>
      <c r="DG4" s="28"/>
      <c r="DH4" s="28"/>
      <c r="DI4" s="28"/>
      <c r="DJ4" s="28"/>
      <c r="DK4" s="28"/>
      <c r="DL4" s="28"/>
      <c r="DM4" s="28"/>
      <c r="DN4" s="28"/>
      <c r="DO4" s="28"/>
      <c r="DP4" s="28"/>
      <c r="DQ4" s="28"/>
      <c r="DR4" s="28"/>
      <c r="DS4" s="28"/>
      <c r="DT4" s="28"/>
      <c r="DU4" s="28"/>
      <c r="DV4" s="28"/>
      <c r="DW4" s="28"/>
      <c r="DX4" s="28"/>
      <c r="DY4" s="28"/>
      <c r="DZ4" s="28"/>
      <c r="EA4" s="28"/>
      <c r="EB4" s="28"/>
      <c r="EC4" s="28"/>
      <c r="ED4" s="28"/>
      <c r="EE4" s="28"/>
      <c r="EF4" s="28"/>
      <c r="EG4" s="28"/>
      <c r="EH4" s="28"/>
      <c r="EI4" s="28"/>
      <c r="EJ4" s="28"/>
      <c r="EK4" s="28"/>
      <c r="EL4" s="28"/>
      <c r="EM4" s="28"/>
      <c r="EN4" s="28"/>
      <c r="EO4" s="28"/>
      <c r="EP4" s="28"/>
      <c r="EQ4" s="28"/>
      <c r="ER4" s="28"/>
      <c r="ES4" s="28"/>
      <c r="ET4" s="28"/>
      <c r="EU4" s="28"/>
      <c r="EV4" s="28"/>
      <c r="EW4" s="28"/>
      <c r="EX4" s="28"/>
      <c r="EY4" s="28"/>
    </row>
    <row r="5" spans="2:155" x14ac:dyDescent="0.2">
      <c r="B5" s="23" t="s">
        <v>79</v>
      </c>
      <c r="C5" s="26">
        <v>35000</v>
      </c>
      <c r="D5" s="26">
        <f>C5*4</f>
        <v>140000</v>
      </c>
      <c r="E5" s="27">
        <v>51363</v>
      </c>
      <c r="F5" s="26">
        <v>150</v>
      </c>
      <c r="G5" s="28">
        <v>10000</v>
      </c>
      <c r="H5" s="28">
        <f t="shared" ref="H5:AV5" ca="1" si="2">G5+G5*(RAND()*(0.15--0.15)+-0.15)/12+$F5</f>
        <v>10134.08750542804</v>
      </c>
      <c r="I5" s="28">
        <f t="shared" ca="1" si="2"/>
        <v>10374.777003617361</v>
      </c>
      <c r="J5" s="28">
        <f t="shared" ca="1" si="2"/>
        <v>10518.115579839035</v>
      </c>
      <c r="K5" s="28">
        <f t="shared" ca="1" si="2"/>
        <v>10580.472871398648</v>
      </c>
      <c r="L5" s="28">
        <f t="shared" ca="1" si="2"/>
        <v>10713.038189839424</v>
      </c>
      <c r="M5" s="28">
        <f t="shared" ca="1" si="2"/>
        <v>10786.383769289323</v>
      </c>
      <c r="N5" s="28">
        <f t="shared" ca="1" si="2"/>
        <v>10987.951964026881</v>
      </c>
      <c r="O5" s="28">
        <f t="shared" ca="1" si="2"/>
        <v>11220.277180952035</v>
      </c>
      <c r="P5" s="28">
        <f t="shared" ca="1" si="2"/>
        <v>11264.303727857114</v>
      </c>
      <c r="Q5" s="28">
        <f t="shared" ca="1" si="2"/>
        <v>11278.523209229716</v>
      </c>
      <c r="R5" s="28">
        <f t="shared" ca="1" si="2"/>
        <v>11392.66937684665</v>
      </c>
      <c r="S5" s="28">
        <f t="shared" ca="1" si="2"/>
        <v>11567.341981063648</v>
      </c>
      <c r="T5" s="28">
        <f t="shared" ca="1" si="2"/>
        <v>11775.500976633743</v>
      </c>
      <c r="U5" s="28">
        <f t="shared" ca="1" si="2"/>
        <v>11896.509527300444</v>
      </c>
      <c r="V5" s="28">
        <f t="shared" ca="1" si="2"/>
        <v>12151.557393552323</v>
      </c>
      <c r="W5" s="28">
        <f t="shared" ca="1" si="2"/>
        <v>12233.30714371767</v>
      </c>
      <c r="X5" s="28">
        <f t="shared" ca="1" si="2"/>
        <v>12280.448182963613</v>
      </c>
      <c r="Y5" s="28">
        <f t="shared" ca="1" si="2"/>
        <v>12474.450398549679</v>
      </c>
      <c r="Z5" s="28">
        <f t="shared" ca="1" si="2"/>
        <v>12696.286936536231</v>
      </c>
      <c r="AA5" s="28">
        <f t="shared" ca="1" si="2"/>
        <v>12897.919452523174</v>
      </c>
      <c r="AB5" s="28">
        <f t="shared" ca="1" si="2"/>
        <v>13051.562816285936</v>
      </c>
      <c r="AC5" s="28">
        <f t="shared" ca="1" si="2"/>
        <v>13199.922911504742</v>
      </c>
      <c r="AD5" s="28">
        <f t="shared" ca="1" si="2"/>
        <v>13321.878869871232</v>
      </c>
      <c r="AE5" s="28">
        <f t="shared" ca="1" si="2"/>
        <v>13511.649157893815</v>
      </c>
      <c r="AF5" s="28">
        <f t="shared" ca="1" si="2"/>
        <v>13635.370459189127</v>
      </c>
      <c r="AG5" s="28">
        <f t="shared" ca="1" si="2"/>
        <v>13838.033741164463</v>
      </c>
      <c r="AH5" s="28">
        <f t="shared" ca="1" si="2"/>
        <v>14099.534603270706</v>
      </c>
      <c r="AI5" s="28">
        <f t="shared" ca="1" si="2"/>
        <v>14374.066159516819</v>
      </c>
      <c r="AJ5" s="28">
        <f t="shared" ca="1" si="2"/>
        <v>14508.976132957067</v>
      </c>
      <c r="AK5" s="28">
        <f t="shared" ca="1" si="2"/>
        <v>14641.349150408963</v>
      </c>
      <c r="AL5" s="28">
        <f t="shared" ca="1" si="2"/>
        <v>14642.640999830384</v>
      </c>
      <c r="AM5" s="28">
        <f t="shared" ca="1" si="2"/>
        <v>14673.069775802967</v>
      </c>
      <c r="AN5" s="28">
        <f t="shared" ca="1" si="2"/>
        <v>14788.999878448823</v>
      </c>
      <c r="AO5" s="28">
        <f t="shared" ca="1" si="2"/>
        <v>14936.617285618851</v>
      </c>
      <c r="AP5" s="28">
        <f t="shared" ca="1" si="2"/>
        <v>15217.326664283421</v>
      </c>
      <c r="AQ5" s="28">
        <f t="shared" ca="1" si="2"/>
        <v>15248.158104421034</v>
      </c>
      <c r="AR5" s="28">
        <f t="shared" ca="1" si="2"/>
        <v>15337.154282360989</v>
      </c>
      <c r="AS5" s="28">
        <f t="shared" ca="1" si="2"/>
        <v>15646.723517847027</v>
      </c>
      <c r="AT5" s="28">
        <f t="shared" ca="1" si="2"/>
        <v>15908.819594968976</v>
      </c>
      <c r="AU5" s="28">
        <f t="shared" ca="1" si="2"/>
        <v>16104.213393837597</v>
      </c>
      <c r="AV5" s="28">
        <f t="shared" ca="1" si="2"/>
        <v>16181.095088345957</v>
      </c>
      <c r="AW5" s="28"/>
      <c r="AX5" s="28"/>
      <c r="AY5" s="28"/>
      <c r="AZ5" s="28"/>
      <c r="BA5" s="28"/>
      <c r="BB5" s="28"/>
      <c r="BC5" s="28"/>
      <c r="BD5" s="28"/>
      <c r="BE5" s="28"/>
      <c r="BF5" s="28"/>
      <c r="BG5" s="28"/>
      <c r="BH5" s="28"/>
      <c r="BI5" s="28"/>
      <c r="BJ5" s="28"/>
      <c r="BK5" s="28"/>
      <c r="BL5" s="28"/>
      <c r="BM5" s="28"/>
      <c r="BN5" s="28"/>
      <c r="BO5" s="28"/>
      <c r="BP5" s="28"/>
      <c r="BQ5" s="28"/>
      <c r="BR5" s="28"/>
      <c r="BS5" s="28"/>
      <c r="BT5" s="28"/>
      <c r="BU5" s="28"/>
      <c r="BV5" s="28"/>
      <c r="BW5" s="28"/>
      <c r="BX5" s="28"/>
      <c r="BY5" s="28"/>
      <c r="BZ5" s="28"/>
      <c r="CA5" s="28"/>
      <c r="CB5" s="28"/>
      <c r="CC5" s="28"/>
      <c r="CD5" s="28"/>
      <c r="CE5" s="28"/>
      <c r="CF5" s="28"/>
      <c r="CG5" s="28"/>
      <c r="CH5" s="28"/>
      <c r="CI5" s="28"/>
      <c r="CJ5" s="28"/>
      <c r="CK5" s="28"/>
      <c r="CL5" s="28"/>
      <c r="CM5" s="28"/>
      <c r="CN5" s="28"/>
      <c r="CO5" s="28"/>
      <c r="CP5" s="28"/>
      <c r="CQ5" s="28"/>
      <c r="CR5" s="28"/>
      <c r="CS5" s="28"/>
      <c r="CT5" s="28"/>
      <c r="CU5" s="28"/>
      <c r="CV5" s="28"/>
      <c r="CW5" s="28"/>
      <c r="CX5" s="28"/>
      <c r="CY5" s="28"/>
      <c r="CZ5" s="28"/>
      <c r="DA5" s="28"/>
      <c r="DB5" s="28"/>
      <c r="DC5" s="28"/>
      <c r="DD5" s="28"/>
      <c r="DE5" s="28"/>
      <c r="DF5" s="28"/>
      <c r="DG5" s="28"/>
      <c r="DH5" s="28"/>
      <c r="DI5" s="28"/>
      <c r="DJ5" s="28"/>
      <c r="DK5" s="28"/>
      <c r="DL5" s="28"/>
      <c r="DM5" s="28"/>
      <c r="DN5" s="28"/>
      <c r="DO5" s="28"/>
      <c r="DP5" s="28"/>
      <c r="DQ5" s="28"/>
      <c r="DR5" s="28"/>
      <c r="DS5" s="28"/>
      <c r="DT5" s="28"/>
      <c r="DU5" s="28"/>
      <c r="DV5" s="28"/>
      <c r="DW5" s="28"/>
      <c r="DX5" s="28"/>
      <c r="DY5" s="28"/>
      <c r="DZ5" s="28"/>
      <c r="EA5" s="28"/>
      <c r="EB5" s="28"/>
      <c r="EC5" s="28"/>
      <c r="ED5" s="28"/>
      <c r="EE5" s="28"/>
      <c r="EF5" s="28"/>
      <c r="EG5" s="28"/>
      <c r="EH5" s="28"/>
      <c r="EI5" s="28"/>
      <c r="EJ5" s="28"/>
      <c r="EK5" s="28"/>
      <c r="EL5" s="28"/>
      <c r="EM5" s="28"/>
      <c r="EN5" s="28"/>
      <c r="EO5" s="28"/>
      <c r="EP5" s="28"/>
      <c r="EQ5" s="28"/>
      <c r="ER5" s="28"/>
      <c r="ES5" s="28"/>
      <c r="ET5" s="28"/>
      <c r="EU5" s="28"/>
      <c r="EV5" s="28"/>
      <c r="EW5" s="28"/>
      <c r="EX5" s="28"/>
      <c r="EY5" s="23"/>
    </row>
    <row r="6" spans="2:155" x14ac:dyDescent="0.2">
      <c r="B6" s="23"/>
      <c r="C6" s="23"/>
      <c r="D6" s="23"/>
      <c r="E6" s="23"/>
      <c r="F6" s="23"/>
      <c r="G6" s="26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  <c r="AM6" s="23"/>
      <c r="AN6" s="23"/>
      <c r="AO6" s="23"/>
      <c r="AP6" s="23"/>
      <c r="AQ6" s="23"/>
      <c r="AR6" s="23"/>
      <c r="AS6" s="23"/>
      <c r="AT6" s="23"/>
      <c r="AU6" s="23"/>
      <c r="AV6" s="23"/>
      <c r="AW6" s="23"/>
      <c r="AX6" s="23"/>
      <c r="AY6" s="23"/>
      <c r="AZ6" s="23"/>
      <c r="BA6" s="23"/>
      <c r="BB6" s="23"/>
      <c r="BC6" s="23"/>
      <c r="BD6" s="23"/>
      <c r="BE6" s="23"/>
      <c r="BF6" s="23"/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  <c r="BR6" s="23"/>
      <c r="BS6" s="23"/>
      <c r="BT6" s="23"/>
      <c r="BU6" s="23"/>
      <c r="BV6" s="23"/>
      <c r="BW6" s="23"/>
      <c r="BX6" s="23"/>
      <c r="BY6" s="23"/>
      <c r="BZ6" s="23"/>
      <c r="CA6" s="23"/>
      <c r="CB6" s="23"/>
      <c r="CC6" s="23"/>
      <c r="CD6" s="23"/>
      <c r="CE6" s="23"/>
      <c r="CF6" s="23"/>
      <c r="CG6" s="23"/>
      <c r="CH6" s="23"/>
      <c r="CI6" s="23"/>
      <c r="CJ6" s="23"/>
      <c r="CK6" s="23"/>
      <c r="CL6" s="23"/>
      <c r="CM6" s="23"/>
      <c r="CN6" s="23"/>
      <c r="CO6" s="23"/>
      <c r="CP6" s="23"/>
      <c r="CQ6" s="23"/>
      <c r="CR6" s="23"/>
      <c r="CS6" s="23"/>
      <c r="CT6" s="23"/>
      <c r="CU6" s="23"/>
      <c r="CV6" s="23"/>
      <c r="CW6" s="23"/>
      <c r="CX6" s="23"/>
      <c r="CY6" s="23"/>
      <c r="CZ6" s="23"/>
      <c r="DA6" s="23"/>
      <c r="DB6" s="23"/>
      <c r="DC6" s="23"/>
      <c r="DD6" s="23"/>
      <c r="DE6" s="23"/>
      <c r="DF6" s="23"/>
      <c r="DG6" s="23"/>
      <c r="DH6" s="23"/>
      <c r="DI6" s="23"/>
      <c r="DJ6" s="23"/>
      <c r="DK6" s="23"/>
      <c r="DL6" s="23"/>
      <c r="DM6" s="23"/>
      <c r="DN6" s="23"/>
      <c r="DO6" s="23"/>
      <c r="DP6" s="23"/>
      <c r="DQ6" s="23"/>
      <c r="DR6" s="23"/>
      <c r="DS6" s="23"/>
      <c r="DT6" s="23"/>
      <c r="DU6" s="23"/>
      <c r="DV6" s="23"/>
      <c r="DW6" s="23"/>
      <c r="DX6" s="23"/>
      <c r="DY6" s="23"/>
      <c r="DZ6" s="23"/>
      <c r="EA6" s="23"/>
      <c r="EB6" s="23"/>
      <c r="EC6" s="23"/>
      <c r="ED6" s="23"/>
      <c r="EE6" s="23"/>
      <c r="EF6" s="23"/>
      <c r="EG6" s="23"/>
      <c r="EH6" s="23"/>
      <c r="EI6" s="23"/>
      <c r="EJ6" s="23"/>
      <c r="EK6" s="23"/>
      <c r="EL6" s="23"/>
      <c r="EM6" s="23"/>
      <c r="EN6" s="23"/>
      <c r="EO6" s="23"/>
      <c r="EP6" s="23"/>
      <c r="EQ6" s="23"/>
      <c r="ER6" s="23"/>
      <c r="ES6" s="23"/>
      <c r="ET6" s="23"/>
      <c r="EU6" s="23"/>
      <c r="EV6" s="23"/>
      <c r="EW6" s="23"/>
      <c r="EX6" s="23"/>
      <c r="EY6" s="23"/>
    </row>
    <row r="7" spans="2:155" x14ac:dyDescent="0.2">
      <c r="B7" s="23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  <c r="AG7" s="23"/>
      <c r="AH7" s="23"/>
      <c r="AI7" s="23"/>
      <c r="AJ7" s="23"/>
      <c r="AK7" s="23"/>
      <c r="AL7" s="23"/>
      <c r="AM7" s="23"/>
      <c r="AN7" s="23"/>
      <c r="AO7" s="23"/>
      <c r="AP7" s="23"/>
      <c r="AQ7" s="23"/>
      <c r="AR7" s="23"/>
      <c r="AS7" s="23"/>
      <c r="AT7" s="23"/>
      <c r="AU7" s="23"/>
      <c r="AV7" s="23"/>
      <c r="AW7" s="23"/>
      <c r="AX7" s="23"/>
      <c r="AY7" s="23"/>
      <c r="AZ7" s="23"/>
      <c r="BA7" s="23"/>
      <c r="BB7" s="23"/>
      <c r="BC7" s="23"/>
      <c r="BD7" s="23"/>
      <c r="BE7" s="23"/>
      <c r="BF7" s="23"/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  <c r="BT7" s="23"/>
      <c r="BU7" s="23"/>
      <c r="BV7" s="23"/>
      <c r="BW7" s="23"/>
      <c r="BX7" s="23"/>
      <c r="BY7" s="23"/>
      <c r="BZ7" s="23"/>
      <c r="CA7" s="23"/>
      <c r="CB7" s="23"/>
      <c r="CC7" s="23"/>
      <c r="CD7" s="23"/>
      <c r="CE7" s="23"/>
      <c r="CF7" s="23"/>
      <c r="CG7" s="23"/>
      <c r="CH7" s="23"/>
      <c r="CI7" s="23"/>
      <c r="CJ7" s="23"/>
      <c r="CK7" s="23"/>
      <c r="CL7" s="23"/>
      <c r="CM7" s="23"/>
      <c r="CN7" s="23"/>
      <c r="CO7" s="23"/>
      <c r="CP7" s="23"/>
      <c r="CQ7" s="23"/>
      <c r="CR7" s="23"/>
      <c r="CS7" s="23"/>
      <c r="CT7" s="23"/>
      <c r="CU7" s="23"/>
      <c r="CV7" s="23"/>
      <c r="CW7" s="23"/>
      <c r="CX7" s="23"/>
      <c r="CY7" s="23"/>
      <c r="CZ7" s="23"/>
      <c r="DA7" s="23"/>
      <c r="DB7" s="23"/>
      <c r="DC7" s="23"/>
      <c r="DD7" s="23"/>
      <c r="DE7" s="23"/>
      <c r="DF7" s="23"/>
      <c r="DG7" s="23"/>
      <c r="DH7" s="23"/>
      <c r="DI7" s="23"/>
      <c r="DJ7" s="23"/>
      <c r="DK7" s="23"/>
      <c r="DL7" s="23"/>
      <c r="DM7" s="23"/>
      <c r="DN7" s="23"/>
      <c r="DO7" s="23"/>
      <c r="DP7" s="23"/>
      <c r="DQ7" s="23"/>
      <c r="DR7" s="23"/>
      <c r="DS7" s="23"/>
      <c r="DT7" s="23"/>
      <c r="DU7" s="23"/>
      <c r="DV7" s="23"/>
      <c r="DW7" s="23"/>
      <c r="DX7" s="23"/>
      <c r="DY7" s="23"/>
      <c r="DZ7" s="23"/>
      <c r="EA7" s="23"/>
      <c r="EB7" s="23"/>
      <c r="EC7" s="23"/>
      <c r="ED7" s="23"/>
      <c r="EE7" s="23"/>
      <c r="EF7" s="23"/>
      <c r="EG7" s="23"/>
      <c r="EH7" s="23"/>
      <c r="EI7" s="23"/>
      <c r="EJ7" s="23"/>
      <c r="EK7" s="23"/>
      <c r="EL7" s="23"/>
      <c r="EM7" s="23"/>
      <c r="EN7" s="23"/>
      <c r="EO7" s="23"/>
      <c r="EP7" s="23"/>
      <c r="EQ7" s="23"/>
      <c r="ER7" s="23"/>
      <c r="ES7" s="23"/>
      <c r="ET7" s="23"/>
      <c r="EU7" s="23"/>
      <c r="EV7" s="23"/>
      <c r="EW7" s="23"/>
      <c r="EX7" s="23"/>
      <c r="EY7" s="23"/>
    </row>
    <row r="8" spans="2:155" x14ac:dyDescent="0.2"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  <c r="AG8" s="23"/>
      <c r="AH8" s="23"/>
      <c r="AI8" s="23"/>
      <c r="AJ8" s="23"/>
      <c r="AK8" s="23"/>
      <c r="AL8" s="23"/>
      <c r="AM8" s="23"/>
      <c r="AN8" s="23"/>
      <c r="AO8" s="23"/>
      <c r="AP8" s="23"/>
      <c r="AQ8" s="23"/>
      <c r="AR8" s="23"/>
      <c r="AS8" s="23"/>
      <c r="AT8" s="23"/>
      <c r="AU8" s="23"/>
      <c r="AV8" s="23"/>
      <c r="AW8" s="23"/>
      <c r="AX8" s="23"/>
      <c r="AY8" s="23"/>
      <c r="AZ8" s="23"/>
      <c r="BA8" s="23"/>
      <c r="BB8" s="23"/>
      <c r="BC8" s="23"/>
      <c r="BD8" s="23"/>
      <c r="BE8" s="23"/>
      <c r="BF8" s="23"/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  <c r="BT8" s="23"/>
      <c r="BU8" s="23"/>
      <c r="BV8" s="23"/>
      <c r="BW8" s="23"/>
      <c r="BX8" s="23"/>
      <c r="BY8" s="23"/>
      <c r="BZ8" s="23"/>
      <c r="CA8" s="23"/>
      <c r="CB8" s="23"/>
      <c r="CC8" s="23"/>
      <c r="CD8" s="23"/>
      <c r="CE8" s="23"/>
      <c r="CF8" s="23"/>
      <c r="CG8" s="23"/>
      <c r="CH8" s="23"/>
      <c r="CI8" s="23"/>
      <c r="CJ8" s="23"/>
      <c r="CK8" s="23"/>
      <c r="CL8" s="23"/>
      <c r="CM8" s="23"/>
      <c r="CN8" s="23"/>
      <c r="CO8" s="23"/>
      <c r="CP8" s="23"/>
      <c r="CQ8" s="23"/>
      <c r="CR8" s="23"/>
      <c r="CS8" s="23"/>
      <c r="CT8" s="23"/>
      <c r="CU8" s="23"/>
      <c r="CV8" s="23"/>
      <c r="CW8" s="23"/>
      <c r="CX8" s="23"/>
      <c r="CY8" s="23"/>
      <c r="CZ8" s="23"/>
      <c r="DA8" s="23"/>
      <c r="DB8" s="23"/>
      <c r="DC8" s="23"/>
      <c r="DD8" s="23"/>
      <c r="DE8" s="23"/>
      <c r="DF8" s="23"/>
      <c r="DG8" s="23"/>
      <c r="DH8" s="23"/>
      <c r="DI8" s="23"/>
      <c r="DJ8" s="23"/>
      <c r="DK8" s="23"/>
      <c r="DL8" s="23"/>
      <c r="DM8" s="23"/>
      <c r="DN8" s="23"/>
      <c r="DO8" s="23"/>
      <c r="DP8" s="23"/>
      <c r="DQ8" s="23"/>
      <c r="DR8" s="23"/>
      <c r="DS8" s="23"/>
      <c r="DT8" s="23"/>
      <c r="DU8" s="23"/>
      <c r="DV8" s="23"/>
      <c r="DW8" s="23"/>
      <c r="DX8" s="23"/>
      <c r="DY8" s="23"/>
      <c r="DZ8" s="23"/>
      <c r="EA8" s="23"/>
      <c r="EB8" s="23"/>
      <c r="EC8" s="23"/>
      <c r="ED8" s="23"/>
      <c r="EE8" s="23"/>
      <c r="EF8" s="23"/>
      <c r="EG8" s="23"/>
      <c r="EH8" s="23"/>
      <c r="EI8" s="23"/>
      <c r="EJ8" s="23"/>
      <c r="EK8" s="23"/>
      <c r="EL8" s="23"/>
      <c r="EM8" s="23"/>
      <c r="EN8" s="23"/>
      <c r="EO8" s="23"/>
      <c r="EP8" s="23"/>
      <c r="EQ8" s="23"/>
      <c r="ER8" s="23"/>
      <c r="ES8" s="23"/>
      <c r="ET8" s="23"/>
      <c r="EU8" s="23"/>
      <c r="EV8" s="23"/>
      <c r="EW8" s="23"/>
      <c r="EX8" s="23"/>
      <c r="EY8" s="23"/>
    </row>
  </sheetData>
  <pageMargins left="0.7" right="0.7" top="0.75" bottom="0.75" header="0.3" footer="0.3"/>
  <pageSetup orientation="portrait" useFirstPageNumber="1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/>
  </sheetPr>
  <dimension ref="A1:N99"/>
  <sheetViews>
    <sheetView tabSelected="1" zoomScale="120" zoomScaleNormal="120" workbookViewId="0">
      <selection activeCell="G16" sqref="G16"/>
    </sheetView>
  </sheetViews>
  <sheetFormatPr baseColWidth="10" defaultColWidth="10.83203125" defaultRowHeight="16" customHeight="1" outlineLevelCol="1" x14ac:dyDescent="0.2"/>
  <cols>
    <col min="1" max="1" width="3.1640625" style="8" customWidth="1"/>
    <col min="2" max="2" width="13.33203125" style="8" customWidth="1"/>
    <col min="3" max="3" width="13.6640625" style="8" customWidth="1" outlineLevel="1" collapsed="1"/>
    <col min="4" max="4" width="10.83203125" style="2" customWidth="1" outlineLevel="1" collapsed="1"/>
    <col min="5" max="5" width="12.1640625" style="8" customWidth="1"/>
    <col min="6" max="6" width="9.5" style="29" customWidth="1"/>
    <col min="7" max="7" width="80.83203125" style="8" customWidth="1"/>
    <col min="8" max="8" width="14.1640625" style="8" customWidth="1"/>
    <col min="9" max="9" width="14.5" style="8" customWidth="1"/>
    <col min="10" max="10" width="19.5" style="8" customWidth="1"/>
    <col min="11" max="11" width="11.1640625" style="8" customWidth="1"/>
    <col min="12" max="12" width="18.6640625" style="8" customWidth="1"/>
    <col min="13" max="13" width="12.33203125" style="17" customWidth="1"/>
    <col min="14" max="14" width="18.83203125" style="17" customWidth="1"/>
    <col min="15" max="15" width="10.83203125" style="8" customWidth="1"/>
    <col min="16" max="16384" width="10.83203125" style="8"/>
  </cols>
  <sheetData>
    <row r="1" spans="1:14" ht="15" customHeight="1" x14ac:dyDescent="0.2">
      <c r="D1" s="8"/>
      <c r="L1" s="17"/>
      <c r="N1" s="8"/>
    </row>
    <row r="2" spans="1:14" s="30" customFormat="1" ht="29" customHeight="1" x14ac:dyDescent="0.2">
      <c r="A2" s="8"/>
      <c r="B2" s="31" t="s">
        <v>19</v>
      </c>
      <c r="C2" s="31" t="s">
        <v>0</v>
      </c>
      <c r="D2" s="31" t="s">
        <v>20</v>
      </c>
      <c r="E2" s="31" t="s">
        <v>80</v>
      </c>
      <c r="F2" s="31" t="s">
        <v>81</v>
      </c>
      <c r="G2" s="31" t="s">
        <v>82</v>
      </c>
      <c r="H2" s="32" t="s">
        <v>83</v>
      </c>
      <c r="I2" s="31" t="s">
        <v>84</v>
      </c>
      <c r="J2" s="31" t="s">
        <v>85</v>
      </c>
      <c r="K2" s="31" t="s">
        <v>86</v>
      </c>
      <c r="L2" s="31" t="s">
        <v>87</v>
      </c>
      <c r="M2" s="31" t="s">
        <v>88</v>
      </c>
      <c r="N2" s="31" t="s">
        <v>89</v>
      </c>
    </row>
    <row r="3" spans="1:14" ht="14" customHeight="1" x14ac:dyDescent="0.2">
      <c r="B3" s="6" t="s">
        <v>21</v>
      </c>
      <c r="C3" s="6" t="str" cm="1">
        <f t="array" ref="C3">_xlfn.XLOOKUP(Table4[[#This Row],[Account]],Table25[[#All],[Account]],Table25[[#All],[Account Type2]])</f>
        <v>Brokerage</v>
      </c>
      <c r="D3" s="6" t="str" cm="1">
        <f t="array" ref="D3">_xlfn.XLOOKUP(Table4[[#This Row],[Account]],Table25[[#All],[Account]],Table25[[#All],[Owner]])</f>
        <v>Drew</v>
      </c>
      <c r="E3" t="str">
        <f>IF(Table4[[#This Row],[Date Sold]]&lt;&gt;"","Closed","Open")</f>
        <v>Closed</v>
      </c>
      <c r="F3" s="6" t="s">
        <v>90</v>
      </c>
      <c r="G3" s="33" t="str" cm="1">
        <f t="array" ref="G3">_xlfn.XLOOKUP(Table4[[#This Row],[Symbol]],Table36[[#All],[Symbol]],Table36[[#All],[Security Description]])</f>
        <v>APPLE INC</v>
      </c>
      <c r="H3" s="34">
        <v>41715</v>
      </c>
      <c r="I3">
        <v>1</v>
      </c>
      <c r="J3" s="35">
        <v>531.22500000000002</v>
      </c>
      <c r="K3" s="36">
        <v>43143</v>
      </c>
      <c r="M3" s="6">
        <v>7</v>
      </c>
      <c r="N3" s="37">
        <v>162.30785714285713</v>
      </c>
    </row>
    <row r="4" spans="1:14" ht="16" customHeight="1" x14ac:dyDescent="0.2">
      <c r="B4" s="6" t="s">
        <v>21</v>
      </c>
      <c r="C4" s="6" t="str" cm="1">
        <f t="array" ref="C4">_xlfn.XLOOKUP(Table4[[#This Row],[Account]],Table25[[#All],[Account]],Table25[[#All],[Account Type2]])</f>
        <v>Brokerage</v>
      </c>
      <c r="D4" s="6" t="str" cm="1">
        <f t="array" ref="D4">_xlfn.XLOOKUP(Table4[[#This Row],[Account]],Table25[[#All],[Account]],Table25[[#All],[Owner]])</f>
        <v>Drew</v>
      </c>
      <c r="E4" t="str">
        <f>IF(Table4[[#This Row],[Date Sold]]&lt;&gt;"","Closed","Open")</f>
        <v>Closed</v>
      </c>
      <c r="F4" s="6" t="s">
        <v>90</v>
      </c>
      <c r="G4" s="33" t="str" cm="1">
        <f t="array" ref="G4">_xlfn.XLOOKUP(Table4[[#This Row],[Symbol]],Table36[[#All],[Symbol]],Table36[[#All],[Security Description]])</f>
        <v>APPLE INC</v>
      </c>
      <c r="H4" s="34">
        <v>41807</v>
      </c>
      <c r="I4">
        <v>1</v>
      </c>
      <c r="J4" s="35">
        <v>92.897272727272721</v>
      </c>
      <c r="K4" s="36">
        <v>43143</v>
      </c>
      <c r="M4" s="6">
        <v>1</v>
      </c>
      <c r="N4" s="37">
        <v>162.30818181818182</v>
      </c>
    </row>
    <row r="5" spans="1:14" ht="16" customHeight="1" x14ac:dyDescent="0.2">
      <c r="B5" s="6" t="s">
        <v>21</v>
      </c>
      <c r="C5" s="6" t="str" cm="1">
        <f t="array" ref="C5">_xlfn.XLOOKUP(Table4[[#This Row],[Account]],Table25[[#All],[Account]],Table25[[#All],[Account Type2]])</f>
        <v>Brokerage</v>
      </c>
      <c r="D5" s="6" t="str" cm="1">
        <f t="array" ref="D5">_xlfn.XLOOKUP(Table4[[#This Row],[Account]],Table25[[#All],[Account]],Table25[[#All],[Owner]])</f>
        <v>Drew</v>
      </c>
      <c r="E5" t="str">
        <f>IF(Table4[[#This Row],[Date Sold]]&lt;&gt;"","Closed","Open")</f>
        <v>Closed</v>
      </c>
      <c r="F5" s="6" t="s">
        <v>90</v>
      </c>
      <c r="G5" s="33" t="str" cm="1">
        <f t="array" ref="G5">_xlfn.XLOOKUP(Table4[[#This Row],[Symbol]],Table36[[#All],[Symbol]],Table36[[#All],[Security Description]])</f>
        <v>APPLE INC</v>
      </c>
      <c r="H5" s="34">
        <v>41807</v>
      </c>
      <c r="I5">
        <v>1</v>
      </c>
      <c r="J5" s="35">
        <v>92.897272727272721</v>
      </c>
      <c r="K5" s="36">
        <v>44074</v>
      </c>
      <c r="M5" s="6">
        <v>1</v>
      </c>
      <c r="N5" s="37">
        <v>130.60750000000002</v>
      </c>
    </row>
    <row r="6" spans="1:14" ht="16" customHeight="1" x14ac:dyDescent="0.2">
      <c r="B6" s="6" t="s">
        <v>21</v>
      </c>
      <c r="C6" s="6" t="str" cm="1">
        <f t="array" ref="C6">_xlfn.XLOOKUP(Table4[[#This Row],[Account]],Table25[[#All],[Account]],Table25[[#All],[Account Type2]])</f>
        <v>Brokerage</v>
      </c>
      <c r="D6" s="6" t="str" cm="1">
        <f t="array" ref="D6">_xlfn.XLOOKUP(Table4[[#This Row],[Account]],Table25[[#All],[Account]],Table25[[#All],[Owner]])</f>
        <v>Drew</v>
      </c>
      <c r="E6" t="str">
        <f>IF(Table4[[#This Row],[Date Sold]]&lt;&gt;"","Closed","Open")</f>
        <v>Closed</v>
      </c>
      <c r="F6" s="6" t="s">
        <v>90</v>
      </c>
      <c r="G6" s="33" t="str" cm="1">
        <f t="array" ref="G6">_xlfn.XLOOKUP(Table4[[#This Row],[Symbol]],Table36[[#All],[Symbol]],Table36[[#All],[Security Description]])</f>
        <v>APPLE INC</v>
      </c>
      <c r="H6" s="34">
        <v>41988</v>
      </c>
      <c r="I6">
        <v>1</v>
      </c>
      <c r="J6" s="35">
        <v>111.29333333333334</v>
      </c>
      <c r="K6" s="36">
        <v>44074</v>
      </c>
      <c r="M6" s="6">
        <v>4</v>
      </c>
      <c r="N6" s="37">
        <v>130.60777777777778</v>
      </c>
    </row>
    <row r="7" spans="1:14" ht="16" customHeight="1" x14ac:dyDescent="0.2">
      <c r="B7" s="6" t="s">
        <v>21</v>
      </c>
      <c r="C7" s="6" t="str" cm="1">
        <f t="array" ref="C7">_xlfn.XLOOKUP(Table4[[#This Row],[Account]],Table25[[#All],[Account]],Table25[[#All],[Account Type2]])</f>
        <v>Brokerage</v>
      </c>
      <c r="D7" s="6" t="str" cm="1">
        <f t="array" ref="D7">_xlfn.XLOOKUP(Table4[[#This Row],[Account]],Table25[[#All],[Account]],Table25[[#All],[Owner]])</f>
        <v>Drew</v>
      </c>
      <c r="E7" t="str">
        <f>IF(Table4[[#This Row],[Date Sold]]&lt;&gt;"","Closed","Open")</f>
        <v>Open</v>
      </c>
      <c r="F7" s="6" t="s">
        <v>90</v>
      </c>
      <c r="G7" s="33" t="str" cm="1">
        <f t="array" ref="G7">_xlfn.XLOOKUP(Table4[[#This Row],[Symbol]],Table36[[#All],[Symbol]],Table36[[#All],[Security Description]])</f>
        <v>APPLE INC</v>
      </c>
      <c r="H7" s="34">
        <v>42359</v>
      </c>
      <c r="I7">
        <v>1</v>
      </c>
      <c r="J7" s="35">
        <v>107.32</v>
      </c>
      <c r="K7" s="36"/>
      <c r="M7" s="6"/>
      <c r="N7" s="37" t="s">
        <v>91</v>
      </c>
    </row>
    <row r="8" spans="1:14" ht="16" customHeight="1" x14ac:dyDescent="0.2">
      <c r="B8" s="6" t="s">
        <v>21</v>
      </c>
      <c r="C8" s="6" t="str" cm="1">
        <f t="array" ref="C8">_xlfn.XLOOKUP(Table4[[#This Row],[Account]],Table25[[#All],[Account]],Table25[[#All],[Account Type2]])</f>
        <v>Brokerage</v>
      </c>
      <c r="D8" s="6" t="str" cm="1">
        <f t="array" ref="D8">_xlfn.XLOOKUP(Table4[[#This Row],[Account]],Table25[[#All],[Account]],Table25[[#All],[Owner]])</f>
        <v>Drew</v>
      </c>
      <c r="E8" t="str">
        <f>IF(Table4[[#This Row],[Date Sold]]&lt;&gt;"","Closed","Open")</f>
        <v>Closed</v>
      </c>
      <c r="F8" s="6" t="s">
        <v>90</v>
      </c>
      <c r="G8" s="33" t="str" cm="1">
        <f t="array" ref="G8">_xlfn.XLOOKUP(Table4[[#This Row],[Symbol]],Table36[[#All],[Symbol]],Table36[[#All],[Security Description]])</f>
        <v>APPLE INC</v>
      </c>
      <c r="H8" s="34">
        <v>42359</v>
      </c>
      <c r="I8">
        <v>1</v>
      </c>
      <c r="J8" s="35">
        <v>107.32</v>
      </c>
      <c r="K8" s="36">
        <v>44074</v>
      </c>
      <c r="M8" s="6">
        <v>4</v>
      </c>
      <c r="N8" s="37">
        <v>130.60749999999999</v>
      </c>
    </row>
    <row r="9" spans="1:14" ht="16" customHeight="1" x14ac:dyDescent="0.2">
      <c r="B9" s="6" t="s">
        <v>21</v>
      </c>
      <c r="C9" s="6" t="str" cm="1">
        <f t="array" ref="C9">_xlfn.XLOOKUP(Table4[[#This Row],[Account]],Table25[[#All],[Account]],Table25[[#All],[Account Type2]])</f>
        <v>Brokerage</v>
      </c>
      <c r="D9" s="6" t="str" cm="1">
        <f t="array" ref="D9">_xlfn.XLOOKUP(Table4[[#This Row],[Account]],Table25[[#All],[Account]],Table25[[#All],[Owner]])</f>
        <v>Drew</v>
      </c>
      <c r="E9" t="str">
        <f>IF(Table4[[#This Row],[Date Sold]]&lt;&gt;"","Closed","Open")</f>
        <v>Closed</v>
      </c>
      <c r="F9" s="6" t="s">
        <v>90</v>
      </c>
      <c r="G9" s="33" t="str" cm="1">
        <f t="array" ref="G9">_xlfn.XLOOKUP(Table4[[#This Row],[Symbol]],Table36[[#All],[Symbol]],Table36[[#All],[Security Description]])</f>
        <v>APPLE INC</v>
      </c>
      <c r="H9" s="34">
        <v>42359</v>
      </c>
      <c r="I9">
        <v>1</v>
      </c>
      <c r="J9" s="35">
        <v>107.32</v>
      </c>
      <c r="K9" s="38">
        <v>45415</v>
      </c>
      <c r="L9" t="s">
        <v>92</v>
      </c>
      <c r="M9" s="6">
        <v>4</v>
      </c>
      <c r="N9" s="37">
        <v>183.38</v>
      </c>
    </row>
    <row r="10" spans="1:14" ht="16" customHeight="1" x14ac:dyDescent="0.2">
      <c r="B10" s="6" t="s">
        <v>21</v>
      </c>
      <c r="C10" s="6" t="str" cm="1">
        <f t="array" ref="C10">_xlfn.XLOOKUP(Table4[[#This Row],[Account]],Table25[[#All],[Account]],Table25[[#All],[Account Type2]])</f>
        <v>Brokerage</v>
      </c>
      <c r="D10" s="6" t="str" cm="1">
        <f t="array" ref="D10">_xlfn.XLOOKUP(Table4[[#This Row],[Account]],Table25[[#All],[Account]],Table25[[#All],[Owner]])</f>
        <v>Drew</v>
      </c>
      <c r="E10" t="str">
        <f>IF(Table4[[#This Row],[Date Sold]]&lt;&gt;"","Closed","Open")</f>
        <v>Closed</v>
      </c>
      <c r="F10" s="6" t="s">
        <v>90</v>
      </c>
      <c r="G10" s="33" t="str" cm="1">
        <f t="array" ref="G10">_xlfn.XLOOKUP(Table4[[#This Row],[Symbol]],Table36[[#All],[Symbol]],Table36[[#All],[Security Description]])</f>
        <v>APPLE INC</v>
      </c>
      <c r="H10" s="34">
        <v>42359</v>
      </c>
      <c r="I10">
        <v>1</v>
      </c>
      <c r="J10" s="35">
        <v>107.32</v>
      </c>
      <c r="K10" s="38">
        <v>45608</v>
      </c>
      <c r="L10" t="s">
        <v>92</v>
      </c>
      <c r="M10" s="6">
        <v>4</v>
      </c>
      <c r="N10" s="37">
        <v>224.73142857142855</v>
      </c>
    </row>
    <row r="11" spans="1:14" ht="16" customHeight="1" x14ac:dyDescent="0.2">
      <c r="B11" s="6" t="s">
        <v>21</v>
      </c>
      <c r="C11" s="6" t="str" cm="1">
        <f t="array" ref="C11">_xlfn.XLOOKUP(Table4[[#This Row],[Account]],Table25[[#All],[Account]],Table25[[#All],[Account Type2]])</f>
        <v>Brokerage</v>
      </c>
      <c r="D11" s="6" t="str" cm="1">
        <f t="array" ref="D11">_xlfn.XLOOKUP(Table4[[#This Row],[Account]],Table25[[#All],[Account]],Table25[[#All],[Owner]])</f>
        <v>Drew</v>
      </c>
      <c r="E11" t="str">
        <f>IF(Table4[[#This Row],[Date Sold]]&lt;&gt;"","Closed","Open")</f>
        <v>Closed</v>
      </c>
      <c r="F11" s="6" t="s">
        <v>90</v>
      </c>
      <c r="G11" s="33" t="str" cm="1">
        <f t="array" ref="G11">_xlfn.XLOOKUP(Table4[[#This Row],[Symbol]],Table36[[#All],[Symbol]],Table36[[#All],[Security Description]])</f>
        <v>APPLE INC</v>
      </c>
      <c r="H11" s="34">
        <v>42359</v>
      </c>
      <c r="I11">
        <v>1</v>
      </c>
      <c r="J11" s="35">
        <v>107.32</v>
      </c>
      <c r="K11" s="38">
        <v>45698</v>
      </c>
      <c r="M11" s="6">
        <v>4</v>
      </c>
      <c r="N11" s="37">
        <v>229.405</v>
      </c>
    </row>
    <row r="12" spans="1:14" ht="16" customHeight="1" x14ac:dyDescent="0.2">
      <c r="B12" s="6" t="s">
        <v>21</v>
      </c>
      <c r="C12" s="6" t="str" cm="1">
        <f t="array" ref="C12">_xlfn.XLOOKUP(Table4[[#This Row],[Account]],Table25[[#All],[Account]],Table25[[#All],[Account Type2]])</f>
        <v>Brokerage</v>
      </c>
      <c r="D12" s="6" t="str" cm="1">
        <f t="array" ref="D12">_xlfn.XLOOKUP(Table4[[#This Row],[Account]],Table25[[#All],[Account]],Table25[[#All],[Owner]])</f>
        <v>Drew</v>
      </c>
      <c r="E12" t="str">
        <f>IF(Table4[[#This Row],[Date Sold]]&lt;&gt;"","Closed","Open")</f>
        <v>Open</v>
      </c>
      <c r="F12" s="6" t="s">
        <v>90</v>
      </c>
      <c r="G12" s="33" t="str" cm="1">
        <f t="array" ref="G12">_xlfn.XLOOKUP(Table4[[#This Row],[Symbol]],Table36[[#All],[Symbol]],Table36[[#All],[Security Description]])</f>
        <v>APPLE INC</v>
      </c>
      <c r="H12" s="34">
        <v>43837</v>
      </c>
      <c r="I12">
        <v>1</v>
      </c>
      <c r="J12" s="35">
        <v>299.7</v>
      </c>
      <c r="K12" s="36"/>
      <c r="M12" s="6"/>
      <c r="N12" s="37" t="s">
        <v>91</v>
      </c>
    </row>
    <row r="13" spans="1:14" ht="16" customHeight="1" x14ac:dyDescent="0.2">
      <c r="B13" s="6" t="s">
        <v>21</v>
      </c>
      <c r="C13" s="6" t="str" cm="1">
        <f t="array" ref="C13">_xlfn.XLOOKUP(Table4[[#This Row],[Account]],Table25[[#All],[Account]],Table25[[#All],[Account Type2]])</f>
        <v>Brokerage</v>
      </c>
      <c r="D13" s="6" t="str" cm="1">
        <f t="array" ref="D13">_xlfn.XLOOKUP(Table4[[#This Row],[Account]],Table25[[#All],[Account]],Table25[[#All],[Owner]])</f>
        <v>Drew</v>
      </c>
      <c r="E13" t="str">
        <f>IF(Table4[[#This Row],[Date Sold]]&lt;&gt;"","Closed","Open")</f>
        <v>Open</v>
      </c>
      <c r="F13" s="6" t="s">
        <v>90</v>
      </c>
      <c r="G13" s="33" t="str" cm="1">
        <f t="array" ref="G13">_xlfn.XLOOKUP(Table4[[#This Row],[Symbol]],Table36[[#All],[Symbol]],Table36[[#All],[Security Description]])</f>
        <v>APPLE INC</v>
      </c>
      <c r="H13" s="34">
        <v>44365</v>
      </c>
      <c r="I13">
        <v>1</v>
      </c>
      <c r="J13" s="35">
        <v>130.96</v>
      </c>
      <c r="K13" s="36"/>
      <c r="M13" s="6"/>
      <c r="N13" s="37" t="s">
        <v>91</v>
      </c>
    </row>
    <row r="14" spans="1:14" ht="16" customHeight="1" x14ac:dyDescent="0.2">
      <c r="B14" s="6" t="s">
        <v>21</v>
      </c>
      <c r="C14" s="6" t="str" cm="1">
        <f t="array" ref="C14">_xlfn.XLOOKUP(Table4[[#This Row],[Account]],Table25[[#All],[Account]],Table25[[#All],[Account Type2]])</f>
        <v>Brokerage</v>
      </c>
      <c r="D14" s="6" t="str" cm="1">
        <f t="array" ref="D14">_xlfn.XLOOKUP(Table4[[#This Row],[Account]],Table25[[#All],[Account]],Table25[[#All],[Owner]])</f>
        <v>Drew</v>
      </c>
      <c r="E14" t="str">
        <f>IF(Table4[[#This Row],[Date Sold]]&lt;&gt;"","Closed","Open")</f>
        <v>Open</v>
      </c>
      <c r="F14" s="6" t="s">
        <v>90</v>
      </c>
      <c r="G14" s="33" t="str" cm="1">
        <f t="array" ref="G14">_xlfn.XLOOKUP(Table4[[#This Row],[Symbol]],Table36[[#All],[Symbol]],Table36[[#All],[Security Description]])</f>
        <v>APPLE INC</v>
      </c>
      <c r="H14" s="34">
        <v>44657</v>
      </c>
      <c r="I14">
        <v>1</v>
      </c>
      <c r="J14" s="35">
        <v>170.82</v>
      </c>
      <c r="K14" s="38"/>
      <c r="M14" s="6"/>
      <c r="N14" s="37" t="s">
        <v>91</v>
      </c>
    </row>
    <row r="15" spans="1:14" ht="16" customHeight="1" x14ac:dyDescent="0.2">
      <c r="B15" s="6" t="s">
        <v>21</v>
      </c>
      <c r="C15" s="6" t="str" cm="1">
        <f t="array" ref="C15">_xlfn.XLOOKUP(Table4[[#This Row],[Account]],Table25[[#All],[Account]],Table25[[#All],[Account Type2]])</f>
        <v>Brokerage</v>
      </c>
      <c r="D15" s="6" t="str" cm="1">
        <f t="array" ref="D15">_xlfn.XLOOKUP(Table4[[#This Row],[Account]],Table25[[#All],[Account]],Table25[[#All],[Owner]])</f>
        <v>Drew</v>
      </c>
      <c r="E15" t="str">
        <f>IF(Table4[[#This Row],[Date Sold]]&lt;&gt;"","Closed","Open")</f>
        <v>Open</v>
      </c>
      <c r="F15" s="6" t="s">
        <v>90</v>
      </c>
      <c r="G15" s="33" t="str" cm="1">
        <f t="array" ref="G15">_xlfn.XLOOKUP(Table4[[#This Row],[Symbol]],Table36[[#All],[Symbol]],Table36[[#All],[Security Description]])</f>
        <v>APPLE INC</v>
      </c>
      <c r="H15" s="34">
        <v>44683</v>
      </c>
      <c r="I15">
        <v>1</v>
      </c>
      <c r="J15" s="35">
        <v>153.88499999999999</v>
      </c>
      <c r="K15" s="38"/>
      <c r="M15" s="6"/>
      <c r="N15" s="37" t="s">
        <v>91</v>
      </c>
    </row>
    <row r="16" spans="1:14" ht="16" customHeight="1" x14ac:dyDescent="0.2">
      <c r="B16" s="6" t="s">
        <v>21</v>
      </c>
      <c r="C16" s="6" t="str" cm="1">
        <f t="array" ref="C16">_xlfn.XLOOKUP(Table4[[#This Row],[Account]],Table25[[#All],[Account]],Table25[[#All],[Account Type2]])</f>
        <v>Brokerage</v>
      </c>
      <c r="D16" s="6" t="str" cm="1">
        <f t="array" ref="D16">_xlfn.XLOOKUP(Table4[[#This Row],[Account]],Table25[[#All],[Account]],Table25[[#All],[Owner]])</f>
        <v>Drew</v>
      </c>
      <c r="E16" t="str">
        <f>IF(Table4[[#This Row],[Date Sold]]&lt;&gt;"","Closed","Open")</f>
        <v>Open</v>
      </c>
      <c r="F16" s="6" t="s">
        <v>90</v>
      </c>
      <c r="G16" s="33" t="str" cm="1">
        <f t="array" ref="G16">_xlfn.XLOOKUP(Table4[[#This Row],[Symbol]],Table36[[#All],[Symbol]],Table36[[#All],[Security Description]])</f>
        <v>APPLE INC</v>
      </c>
      <c r="H16" s="34">
        <v>45022</v>
      </c>
      <c r="I16">
        <v>1</v>
      </c>
      <c r="J16" s="35">
        <v>164.47</v>
      </c>
      <c r="K16" s="38"/>
      <c r="M16" s="6"/>
      <c r="N16" s="37" t="s">
        <v>91</v>
      </c>
    </row>
    <row r="17" spans="2:14" ht="16" customHeight="1" x14ac:dyDescent="0.2">
      <c r="B17" s="6" t="s">
        <v>21</v>
      </c>
      <c r="C17" s="6" t="str" cm="1">
        <f t="array" ref="C17">_xlfn.XLOOKUP(Table4[[#This Row],[Account]],Table25[[#All],[Account]],Table25[[#All],[Account Type2]])</f>
        <v>Brokerage</v>
      </c>
      <c r="D17" s="6" t="str" cm="1">
        <f t="array" ref="D17">_xlfn.XLOOKUP(Table4[[#This Row],[Account]],Table25[[#All],[Account]],Table25[[#All],[Owner]])</f>
        <v>Drew</v>
      </c>
      <c r="E17" t="str">
        <f>IF(Table4[[#This Row],[Date Sold]]&lt;&gt;"","Closed","Open")</f>
        <v>Open</v>
      </c>
      <c r="F17" s="6" t="s">
        <v>90</v>
      </c>
      <c r="G17" s="33" t="str" cm="1">
        <f t="array" ref="G17">_xlfn.XLOOKUP(Table4[[#This Row],[Symbol]],Table36[[#All],[Symbol]],Table36[[#All],[Security Description]])</f>
        <v>APPLE INC</v>
      </c>
      <c r="H17" s="34">
        <v>45079</v>
      </c>
      <c r="I17">
        <v>1</v>
      </c>
      <c r="J17" s="35">
        <v>180.94</v>
      </c>
      <c r="K17" s="38"/>
      <c r="M17" s="6"/>
      <c r="N17" s="37" t="s">
        <v>91</v>
      </c>
    </row>
    <row r="18" spans="2:14" ht="16" customHeight="1" x14ac:dyDescent="0.2">
      <c r="B18" s="6" t="s">
        <v>21</v>
      </c>
      <c r="C18" s="6" t="str" cm="1">
        <f t="array" ref="C18">_xlfn.XLOOKUP(Table4[[#This Row],[Account]],Table25[[#All],[Account]],Table25[[#All],[Account Type2]])</f>
        <v>Brokerage</v>
      </c>
      <c r="D18" s="6" t="str" cm="1">
        <f t="array" ref="D18">_xlfn.XLOOKUP(Table4[[#This Row],[Account]],Table25[[#All],[Account]],Table25[[#All],[Owner]])</f>
        <v>Drew</v>
      </c>
      <c r="E18" t="str">
        <f>IF(Table4[[#This Row],[Date Sold]]&lt;&gt;"","Closed","Open")</f>
        <v>Open</v>
      </c>
      <c r="F18" s="6" t="s">
        <v>90</v>
      </c>
      <c r="G18" s="33" t="str" cm="1">
        <f t="array" ref="G18">_xlfn.XLOOKUP(Table4[[#This Row],[Symbol]],Table36[[#All],[Symbol]],Table36[[#All],[Security Description]])</f>
        <v>APPLE INC</v>
      </c>
      <c r="H18" s="34">
        <v>45215</v>
      </c>
      <c r="I18">
        <v>1</v>
      </c>
      <c r="J18" s="35">
        <v>177.976</v>
      </c>
      <c r="K18" s="38"/>
      <c r="M18" s="6"/>
      <c r="N18" s="37" t="s">
        <v>91</v>
      </c>
    </row>
    <row r="19" spans="2:14" ht="16" customHeight="1" x14ac:dyDescent="0.2">
      <c r="B19" s="6" t="s">
        <v>21</v>
      </c>
      <c r="C19" s="6" t="str" cm="1">
        <f t="array" ref="C19">_xlfn.XLOOKUP(Table4[[#This Row],[Account]],Table25[[#All],[Account]],Table25[[#All],[Account Type2]])</f>
        <v>Brokerage</v>
      </c>
      <c r="D19" s="6" t="str" cm="1">
        <f t="array" ref="D19">_xlfn.XLOOKUP(Table4[[#This Row],[Account]],Table25[[#All],[Account]],Table25[[#All],[Owner]])</f>
        <v>Drew</v>
      </c>
      <c r="E19" t="str">
        <f>IF(Table4[[#This Row],[Date Sold]]&lt;&gt;"","Closed","Open")</f>
        <v>Open</v>
      </c>
      <c r="F19" s="6" t="s">
        <v>90</v>
      </c>
      <c r="G19" s="33" t="str" cm="1">
        <f t="array" ref="G19">_xlfn.XLOOKUP(Table4[[#This Row],[Symbol]],Table36[[#All],[Symbol]],Table36[[#All],[Security Description]])</f>
        <v>APPLE INC</v>
      </c>
      <c r="H19" s="34">
        <v>45481</v>
      </c>
      <c r="I19">
        <v>1</v>
      </c>
      <c r="J19" s="35">
        <v>225.52</v>
      </c>
      <c r="K19" s="38"/>
      <c r="M19" s="6"/>
      <c r="N19" s="37" t="s">
        <v>91</v>
      </c>
    </row>
    <row r="20" spans="2:14" ht="16" customHeight="1" x14ac:dyDescent="0.2">
      <c r="B20" s="5" t="s">
        <v>23</v>
      </c>
      <c r="C20" s="6" t="str" cm="1">
        <f t="array" ref="C20">_xlfn.XLOOKUP(Table4[[#This Row],[Account]],Table25[[#All],[Account]],Table25[[#All],[Account Type2]])</f>
        <v>Roth IRA</v>
      </c>
      <c r="D20" s="6" t="str" cm="1">
        <f t="array" ref="D20">_xlfn.XLOOKUP(Table4[[#This Row],[Account]],Table25[[#All],[Account]],Table25[[#All],[Owner]])</f>
        <v>Shaun</v>
      </c>
      <c r="E20" t="str">
        <f>IF(Table4[[#This Row],[Date Sold]]&lt;&gt;"","Closed","Open")</f>
        <v>Closed</v>
      </c>
      <c r="F20" s="6" t="s">
        <v>93</v>
      </c>
      <c r="G20" s="33" t="str" cm="1">
        <f t="array" ref="G20">_xlfn.XLOOKUP(Table4[[#This Row],[Symbol]],Table36[[#All],[Symbol]],Table36[[#All],[Security Description]])</f>
        <v>AIRBNB INC COM CL A</v>
      </c>
      <c r="H20" s="39">
        <v>44344</v>
      </c>
      <c r="I20" s="6">
        <v>1</v>
      </c>
      <c r="J20" s="37">
        <v>143.05000000000001</v>
      </c>
      <c r="K20" s="36">
        <v>45698</v>
      </c>
      <c r="L20" s="6"/>
      <c r="M20" s="6">
        <v>1</v>
      </c>
      <c r="N20" s="37">
        <v>134.22669999999999</v>
      </c>
    </row>
    <row r="21" spans="2:14" ht="16" customHeight="1" x14ac:dyDescent="0.2">
      <c r="B21" s="5" t="s">
        <v>23</v>
      </c>
      <c r="C21" s="6" t="str" cm="1">
        <f t="array" ref="C21">_xlfn.XLOOKUP(Table4[[#This Row],[Account]],Table25[[#All],[Account]],Table25[[#All],[Account Type2]])</f>
        <v>Roth IRA</v>
      </c>
      <c r="D21" s="6" t="str" cm="1">
        <f t="array" ref="D21">_xlfn.XLOOKUP(Table4[[#This Row],[Account]],Table25[[#All],[Account]],Table25[[#All],[Owner]])</f>
        <v>Shaun</v>
      </c>
      <c r="E21" t="str">
        <f>IF(Table4[[#This Row],[Date Sold]]&lt;&gt;"","Closed","Open")</f>
        <v>Open</v>
      </c>
      <c r="F21" s="6" t="s">
        <v>93</v>
      </c>
      <c r="G21" s="33" t="str" cm="1">
        <f t="array" ref="G21">_xlfn.XLOOKUP(Table4[[#This Row],[Symbol]],Table36[[#All],[Symbol]],Table36[[#All],[Security Description]])</f>
        <v>AIRBNB INC COM CL A</v>
      </c>
      <c r="H21" s="39">
        <v>44365</v>
      </c>
      <c r="I21" s="6">
        <v>1</v>
      </c>
      <c r="J21" s="37">
        <v>152.80000000000001</v>
      </c>
      <c r="K21" s="36"/>
      <c r="L21" s="6"/>
      <c r="M21" s="6"/>
      <c r="N21" s="37" t="s">
        <v>91</v>
      </c>
    </row>
    <row r="22" spans="2:14" ht="16" customHeight="1" x14ac:dyDescent="0.2">
      <c r="B22" s="5" t="s">
        <v>23</v>
      </c>
      <c r="C22" s="6" t="str" cm="1">
        <f t="array" ref="C22">_xlfn.XLOOKUP(Table4[[#This Row],[Account]],Table25[[#All],[Account]],Table25[[#All],[Account Type2]])</f>
        <v>Roth IRA</v>
      </c>
      <c r="D22" s="6" t="str" cm="1">
        <f t="array" ref="D22">_xlfn.XLOOKUP(Table4[[#This Row],[Account]],Table25[[#All],[Account]],Table25[[#All],[Owner]])</f>
        <v>Shaun</v>
      </c>
      <c r="E22" t="str">
        <f>IF(Table4[[#This Row],[Date Sold]]&lt;&gt;"","Closed","Open")</f>
        <v>Closed</v>
      </c>
      <c r="F22" s="6" t="s">
        <v>93</v>
      </c>
      <c r="G22" s="33" t="str" cm="1">
        <f t="array" ref="G22">_xlfn.XLOOKUP(Table4[[#This Row],[Symbol]],Table36[[#All],[Symbol]],Table36[[#All],[Security Description]])</f>
        <v>AIRBNB INC COM CL A</v>
      </c>
      <c r="H22" s="39">
        <v>44378</v>
      </c>
      <c r="I22" s="6">
        <v>1</v>
      </c>
      <c r="J22" s="37">
        <v>152.4</v>
      </c>
      <c r="K22" s="36">
        <v>45698</v>
      </c>
      <c r="L22" s="6"/>
      <c r="M22" s="6">
        <v>1</v>
      </c>
      <c r="N22" s="37">
        <v>134.22669999999999</v>
      </c>
    </row>
    <row r="23" spans="2:14" ht="16" customHeight="1" x14ac:dyDescent="0.2">
      <c r="B23" s="5" t="s">
        <v>23</v>
      </c>
      <c r="C23" s="6" t="str" cm="1">
        <f t="array" ref="C23">_xlfn.XLOOKUP(Table4[[#This Row],[Account]],Table25[[#All],[Account]],Table25[[#All],[Account Type2]])</f>
        <v>Roth IRA</v>
      </c>
      <c r="D23" s="6" t="str" cm="1">
        <f t="array" ref="D23">_xlfn.XLOOKUP(Table4[[#This Row],[Account]],Table25[[#All],[Account]],Table25[[#All],[Owner]])</f>
        <v>Shaun</v>
      </c>
      <c r="E23" t="str">
        <f>IF(Table4[[#This Row],[Date Sold]]&lt;&gt;"","Closed","Open")</f>
        <v>Open</v>
      </c>
      <c r="F23" s="6" t="s">
        <v>93</v>
      </c>
      <c r="G23" s="33" t="str" cm="1">
        <f t="array" ref="G23">_xlfn.XLOOKUP(Table4[[#This Row],[Symbol]],Table36[[#All],[Symbol]],Table36[[#All],[Security Description]])</f>
        <v>AIRBNB INC COM CL A</v>
      </c>
      <c r="H23" s="39">
        <v>44722</v>
      </c>
      <c r="I23" s="6">
        <v>1</v>
      </c>
      <c r="J23" s="37">
        <v>109.44666700000001</v>
      </c>
      <c r="K23" s="36"/>
      <c r="L23" s="6"/>
      <c r="M23" s="6"/>
      <c r="N23" s="37" t="s">
        <v>91</v>
      </c>
    </row>
    <row r="24" spans="2:14" ht="16" customHeight="1" x14ac:dyDescent="0.2">
      <c r="B24" s="5" t="s">
        <v>23</v>
      </c>
      <c r="C24" s="6" t="str" cm="1">
        <f t="array" ref="C24">_xlfn.XLOOKUP(Table4[[#This Row],[Account]],Table25[[#All],[Account]],Table25[[#All],[Account Type2]])</f>
        <v>Roth IRA</v>
      </c>
      <c r="D24" s="6" t="str" cm="1">
        <f t="array" ref="D24">_xlfn.XLOOKUP(Table4[[#This Row],[Account]],Table25[[#All],[Account]],Table25[[#All],[Owner]])</f>
        <v>Shaun</v>
      </c>
      <c r="E24" t="str">
        <f>IF(Table4[[#This Row],[Date Sold]]&lt;&gt;"","Closed","Open")</f>
        <v>Closed</v>
      </c>
      <c r="F24" s="6" t="s">
        <v>93</v>
      </c>
      <c r="G24" s="33" t="str" cm="1">
        <f t="array" ref="G24">_xlfn.XLOOKUP(Table4[[#This Row],[Symbol]],Table36[[#All],[Symbol]],Table36[[#All],[Security Description]])</f>
        <v>AIRBNB INC COM CL A</v>
      </c>
      <c r="H24" s="39">
        <v>44722</v>
      </c>
      <c r="I24" s="6">
        <v>1</v>
      </c>
      <c r="J24" s="37">
        <v>109.44666700000001</v>
      </c>
      <c r="K24" s="36">
        <v>45698</v>
      </c>
      <c r="L24" s="6"/>
      <c r="M24" s="6">
        <v>1</v>
      </c>
      <c r="N24" s="37">
        <v>134.22669999999999</v>
      </c>
    </row>
    <row r="25" spans="2:14" ht="16" customHeight="1" x14ac:dyDescent="0.2">
      <c r="B25" s="5" t="s">
        <v>23</v>
      </c>
      <c r="C25" s="6" t="str" cm="1">
        <f t="array" ref="C25">_xlfn.XLOOKUP(Table4[[#This Row],[Account]],Table25[[#All],[Account]],Table25[[#All],[Account Type2]])</f>
        <v>Roth IRA</v>
      </c>
      <c r="D25" s="6" t="str" cm="1">
        <f t="array" ref="D25">_xlfn.XLOOKUP(Table4[[#This Row],[Account]],Table25[[#All],[Account]],Table25[[#All],[Owner]])</f>
        <v>Shaun</v>
      </c>
      <c r="E25" t="str">
        <f>IF(Table4[[#This Row],[Date Sold]]&lt;&gt;"","Closed","Open")</f>
        <v>Open</v>
      </c>
      <c r="F25" s="6" t="s">
        <v>93</v>
      </c>
      <c r="G25" s="33" t="str" cm="1">
        <f t="array" ref="G25">_xlfn.XLOOKUP(Table4[[#This Row],[Symbol]],Table36[[#All],[Symbol]],Table36[[#All],[Security Description]])</f>
        <v>AIRBNB INC COM CL A</v>
      </c>
      <c r="H25" s="39">
        <v>44798</v>
      </c>
      <c r="I25" s="6">
        <v>1</v>
      </c>
      <c r="J25" s="37">
        <v>116.26</v>
      </c>
      <c r="K25" s="36"/>
      <c r="L25" s="6"/>
      <c r="M25" s="6"/>
      <c r="N25" s="37" t="s">
        <v>91</v>
      </c>
    </row>
    <row r="26" spans="2:14" ht="16" customHeight="1" x14ac:dyDescent="0.2">
      <c r="B26" s="5" t="s">
        <v>23</v>
      </c>
      <c r="C26" s="6" t="str" cm="1">
        <f t="array" ref="C26">_xlfn.XLOOKUP(Table4[[#This Row],[Account]],Table25[[#All],[Account]],Table25[[#All],[Account Type2]])</f>
        <v>Roth IRA</v>
      </c>
      <c r="D26" s="6" t="str" cm="1">
        <f t="array" ref="D26">_xlfn.XLOOKUP(Table4[[#This Row],[Account]],Table25[[#All],[Account]],Table25[[#All],[Owner]])</f>
        <v>Shaun</v>
      </c>
      <c r="E26" t="str">
        <f>IF(Table4[[#This Row],[Date Sold]]&lt;&gt;"","Closed","Open")</f>
        <v>Closed</v>
      </c>
      <c r="F26" s="6" t="s">
        <v>93</v>
      </c>
      <c r="G26" s="33" t="str" cm="1">
        <f t="array" ref="G26">_xlfn.XLOOKUP(Table4[[#This Row],[Symbol]],Table36[[#All],[Symbol]],Table36[[#All],[Security Description]])</f>
        <v>AIRBNB INC COM CL A</v>
      </c>
      <c r="H26" s="39">
        <v>44991</v>
      </c>
      <c r="I26" s="6">
        <v>1</v>
      </c>
      <c r="J26" s="37">
        <v>126.81</v>
      </c>
      <c r="K26" s="36">
        <v>45698</v>
      </c>
      <c r="L26" s="6"/>
      <c r="M26" s="6">
        <v>1</v>
      </c>
      <c r="N26" s="37">
        <v>134.22669999999999</v>
      </c>
    </row>
    <row r="27" spans="2:14" ht="16" customHeight="1" x14ac:dyDescent="0.2">
      <c r="B27" s="5" t="s">
        <v>23</v>
      </c>
      <c r="C27" s="6" t="str" cm="1">
        <f t="array" ref="C27">_xlfn.XLOOKUP(Table4[[#This Row],[Account]],Table25[[#All],[Account]],Table25[[#All],[Account Type2]])</f>
        <v>Roth IRA</v>
      </c>
      <c r="D27" s="6" t="str" cm="1">
        <f t="array" ref="D27">_xlfn.XLOOKUP(Table4[[#This Row],[Account]],Table25[[#All],[Account]],Table25[[#All],[Owner]])</f>
        <v>Shaun</v>
      </c>
      <c r="E27" t="str">
        <f>IF(Table4[[#This Row],[Date Sold]]&lt;&gt;"","Closed","Open")</f>
        <v>Open</v>
      </c>
      <c r="F27" s="6" t="s">
        <v>93</v>
      </c>
      <c r="G27" s="33" t="str" cm="1">
        <f t="array" ref="G27">_xlfn.XLOOKUP(Table4[[#This Row],[Symbol]],Table36[[#All],[Symbol]],Table36[[#All],[Security Description]])</f>
        <v>AIRBNB INC COM CL A</v>
      </c>
      <c r="H27" s="39">
        <v>45019</v>
      </c>
      <c r="I27" s="6">
        <v>1</v>
      </c>
      <c r="J27" s="37">
        <v>120.21</v>
      </c>
      <c r="K27" s="36"/>
      <c r="L27" s="6"/>
      <c r="M27" s="6"/>
      <c r="N27" s="37" t="s">
        <v>91</v>
      </c>
    </row>
    <row r="28" spans="2:14" ht="16" customHeight="1" x14ac:dyDescent="0.2">
      <c r="B28" s="5" t="s">
        <v>23</v>
      </c>
      <c r="C28" s="6" t="str" cm="1">
        <f t="array" ref="C28">_xlfn.XLOOKUP(Table4[[#This Row],[Account]],Table25[[#All],[Account]],Table25[[#All],[Account Type2]])</f>
        <v>Roth IRA</v>
      </c>
      <c r="D28" s="6" t="str" cm="1">
        <f t="array" ref="D28">_xlfn.XLOOKUP(Table4[[#This Row],[Account]],Table25[[#All],[Account]],Table25[[#All],[Owner]])</f>
        <v>Shaun</v>
      </c>
      <c r="E28" t="str">
        <f>IF(Table4[[#This Row],[Date Sold]]&lt;&gt;"","Closed","Open")</f>
        <v>Open</v>
      </c>
      <c r="F28" s="6" t="s">
        <v>93</v>
      </c>
      <c r="G28" s="33" t="str" cm="1">
        <f t="array" ref="G28">_xlfn.XLOOKUP(Table4[[#This Row],[Symbol]],Table36[[#All],[Symbol]],Table36[[#All],[Security Description]])</f>
        <v>AIRBNB INC COM CL A</v>
      </c>
      <c r="H28" s="39">
        <v>45022</v>
      </c>
      <c r="I28" s="6">
        <v>1</v>
      </c>
      <c r="J28" s="37">
        <v>117.45</v>
      </c>
      <c r="K28" s="36"/>
      <c r="L28" s="6"/>
      <c r="M28" s="6"/>
      <c r="N28" s="37" t="s">
        <v>91</v>
      </c>
    </row>
    <row r="29" spans="2:14" ht="16" customHeight="1" x14ac:dyDescent="0.2">
      <c r="B29" s="5" t="s">
        <v>23</v>
      </c>
      <c r="C29" s="6" t="str" cm="1">
        <f t="array" ref="C29">_xlfn.XLOOKUP(Table4[[#This Row],[Account]],Table25[[#All],[Account]],Table25[[#All],[Account Type2]])</f>
        <v>Roth IRA</v>
      </c>
      <c r="D29" s="6" t="str" cm="1">
        <f t="array" ref="D29">_xlfn.XLOOKUP(Table4[[#This Row],[Account]],Table25[[#All],[Account]],Table25[[#All],[Owner]])</f>
        <v>Shaun</v>
      </c>
      <c r="E29" t="str">
        <f>IF(Table4[[#This Row],[Date Sold]]&lt;&gt;"","Closed","Open")</f>
        <v>Open</v>
      </c>
      <c r="F29" s="6" t="s">
        <v>93</v>
      </c>
      <c r="G29" s="33" t="str" cm="1">
        <f t="array" ref="G29">_xlfn.XLOOKUP(Table4[[#This Row],[Symbol]],Table36[[#All],[Symbol]],Table36[[#All],[Security Description]])</f>
        <v>AIRBNB INC COM CL A</v>
      </c>
      <c r="H29" s="39">
        <v>45201</v>
      </c>
      <c r="I29" s="6">
        <v>1</v>
      </c>
      <c r="J29" s="37">
        <v>136.33000000000001</v>
      </c>
      <c r="K29" s="36"/>
      <c r="L29" s="6"/>
      <c r="M29" s="6"/>
      <c r="N29" s="37" t="s">
        <v>91</v>
      </c>
    </row>
    <row r="30" spans="2:14" ht="16" customHeight="1" x14ac:dyDescent="0.2">
      <c r="B30" s="5" t="s">
        <v>23</v>
      </c>
      <c r="C30" s="6" t="str" cm="1">
        <f t="array" ref="C30">_xlfn.XLOOKUP(Table4[[#This Row],[Account]],Table25[[#All],[Account]],Table25[[#All],[Account Type2]])</f>
        <v>Roth IRA</v>
      </c>
      <c r="D30" s="6" t="str" cm="1">
        <f t="array" ref="D30">_xlfn.XLOOKUP(Table4[[#This Row],[Account]],Table25[[#All],[Account]],Table25[[#All],[Owner]])</f>
        <v>Shaun</v>
      </c>
      <c r="E30" t="str">
        <f>IF(Table4[[#This Row],[Date Sold]]&lt;&gt;"","Closed","Open")</f>
        <v>Open</v>
      </c>
      <c r="F30" s="6" t="s">
        <v>93</v>
      </c>
      <c r="G30" s="33" t="str" cm="1">
        <f t="array" ref="G30">_xlfn.XLOOKUP(Table4[[#This Row],[Symbol]],Table36[[#All],[Symbol]],Table36[[#All],[Security Description]])</f>
        <v>AIRBNB INC COM CL A</v>
      </c>
      <c r="H30" s="40">
        <v>45261</v>
      </c>
      <c r="I30" s="6">
        <v>1</v>
      </c>
      <c r="J30" s="37">
        <v>132.44999999999999</v>
      </c>
      <c r="K30" s="36"/>
      <c r="L30" s="6"/>
      <c r="M30" s="6"/>
      <c r="N30" s="37" t="s">
        <v>91</v>
      </c>
    </row>
    <row r="31" spans="2:14" ht="16" customHeight="1" x14ac:dyDescent="0.2">
      <c r="B31" s="5" t="s">
        <v>23</v>
      </c>
      <c r="C31" s="6" t="str" cm="1">
        <f t="array" ref="C31">_xlfn.XLOOKUP(Table4[[#This Row],[Account]],Table25[[#All],[Account]],Table25[[#All],[Account Type2]])</f>
        <v>Roth IRA</v>
      </c>
      <c r="D31" s="6" t="str" cm="1">
        <f t="array" ref="D31">_xlfn.XLOOKUP(Table4[[#This Row],[Account]],Table25[[#All],[Account]],Table25[[#All],[Owner]])</f>
        <v>Shaun</v>
      </c>
      <c r="E31" t="str">
        <f>IF(Table4[[#This Row],[Date Sold]]&lt;&gt;"","Closed","Open")</f>
        <v>Closed</v>
      </c>
      <c r="F31" s="41" t="s">
        <v>94</v>
      </c>
      <c r="G31" s="33" t="str" cm="1">
        <f t="array" ref="G31">_xlfn.XLOOKUP(Table4[[#This Row],[Symbol]],Table36[[#All],[Symbol]],Table36[[#All],[Security Description]])</f>
        <v>AMAZON.COM INC</v>
      </c>
      <c r="H31" s="39">
        <v>41715</v>
      </c>
      <c r="I31" s="6">
        <v>1</v>
      </c>
      <c r="J31" s="37">
        <v>383.54</v>
      </c>
      <c r="K31" s="36">
        <v>43143</v>
      </c>
      <c r="L31" s="6"/>
      <c r="M31" s="42">
        <v>1</v>
      </c>
      <c r="N31" s="37">
        <v>1379.58</v>
      </c>
    </row>
    <row r="32" spans="2:14" ht="16" customHeight="1" x14ac:dyDescent="0.2">
      <c r="B32" s="5" t="s">
        <v>23</v>
      </c>
      <c r="C32" s="6" t="str" cm="1">
        <f t="array" ref="C32">_xlfn.XLOOKUP(Table4[[#This Row],[Account]],Table25[[#All],[Account]],Table25[[#All],[Account Type2]])</f>
        <v>Roth IRA</v>
      </c>
      <c r="D32" s="6" t="str" cm="1">
        <f t="array" ref="D32">_xlfn.XLOOKUP(Table4[[#This Row],[Account]],Table25[[#All],[Account]],Table25[[#All],[Owner]])</f>
        <v>Shaun</v>
      </c>
      <c r="E32" t="str">
        <f>IF(Table4[[#This Row],[Date Sold]]&lt;&gt;"","Closed","Open")</f>
        <v>Open</v>
      </c>
      <c r="F32" s="41" t="s">
        <v>94</v>
      </c>
      <c r="G32" s="33" t="str" cm="1">
        <f t="array" ref="G32">_xlfn.XLOOKUP(Table4[[#This Row],[Symbol]],Table36[[#All],[Symbol]],Table36[[#All],[Security Description]])</f>
        <v>AMAZON.COM INC</v>
      </c>
      <c r="H32" s="39">
        <v>41857</v>
      </c>
      <c r="I32" s="6">
        <v>1</v>
      </c>
      <c r="J32" s="37">
        <v>314.8</v>
      </c>
      <c r="K32" s="36"/>
      <c r="L32" s="6"/>
      <c r="M32" s="42"/>
      <c r="N32" s="37" t="s">
        <v>91</v>
      </c>
    </row>
    <row r="33" spans="2:14" ht="16" customHeight="1" x14ac:dyDescent="0.2">
      <c r="B33" s="5" t="s">
        <v>23</v>
      </c>
      <c r="C33" s="6" t="str" cm="1">
        <f t="array" ref="C33">_xlfn.XLOOKUP(Table4[[#This Row],[Account]],Table25[[#All],[Account]],Table25[[#All],[Account Type2]])</f>
        <v>Roth IRA</v>
      </c>
      <c r="D33" s="6" t="str" cm="1">
        <f t="array" ref="D33">_xlfn.XLOOKUP(Table4[[#This Row],[Account]],Table25[[#All],[Account]],Table25[[#All],[Owner]])</f>
        <v>Shaun</v>
      </c>
      <c r="E33" t="str">
        <f>IF(Table4[[#This Row],[Date Sold]]&lt;&gt;"","Closed","Open")</f>
        <v>Closed</v>
      </c>
      <c r="F33" s="41" t="s">
        <v>94</v>
      </c>
      <c r="G33" s="33" t="str" cm="1">
        <f t="array" ref="G33">_xlfn.XLOOKUP(Table4[[#This Row],[Symbol]],Table36[[#All],[Symbol]],Table36[[#All],[Security Description]])</f>
        <v>AMAZON.COM INC</v>
      </c>
      <c r="H33" s="39">
        <v>41857</v>
      </c>
      <c r="I33" s="6">
        <v>1</v>
      </c>
      <c r="J33" s="37">
        <v>314.8</v>
      </c>
      <c r="K33" s="36">
        <v>44074</v>
      </c>
      <c r="L33" s="6"/>
      <c r="M33" s="42">
        <v>1</v>
      </c>
      <c r="N33" s="37">
        <v>3476.16</v>
      </c>
    </row>
    <row r="34" spans="2:14" ht="16" customHeight="1" x14ac:dyDescent="0.2">
      <c r="B34" s="5" t="s">
        <v>23</v>
      </c>
      <c r="C34" s="6" t="str" cm="1">
        <f t="array" ref="C34">_xlfn.XLOOKUP(Table4[[#This Row],[Account]],Table25[[#All],[Account]],Table25[[#All],[Account Type2]])</f>
        <v>Roth IRA</v>
      </c>
      <c r="D34" s="6" t="str" cm="1">
        <f t="array" ref="D34">_xlfn.XLOOKUP(Table4[[#This Row],[Account]],Table25[[#All],[Account]],Table25[[#All],[Owner]])</f>
        <v>Shaun</v>
      </c>
      <c r="E34" t="str">
        <f>IF(Table4[[#This Row],[Date Sold]]&lt;&gt;"","Closed","Open")</f>
        <v>Open</v>
      </c>
      <c r="F34" s="41" t="s">
        <v>94</v>
      </c>
      <c r="G34" s="33" t="str" cm="1">
        <f t="array" ref="G34">_xlfn.XLOOKUP(Table4[[#This Row],[Symbol]],Table36[[#All],[Symbol]],Table36[[#All],[Security Description]])</f>
        <v>AMAZON.COM INC</v>
      </c>
      <c r="H34" s="39">
        <v>41988</v>
      </c>
      <c r="I34" s="6">
        <v>1</v>
      </c>
      <c r="J34" s="37">
        <v>307.81</v>
      </c>
      <c r="K34" s="36"/>
      <c r="L34" s="6"/>
      <c r="M34" s="42"/>
      <c r="N34" s="37" t="s">
        <v>91</v>
      </c>
    </row>
    <row r="35" spans="2:14" ht="16" customHeight="1" x14ac:dyDescent="0.2">
      <c r="B35" s="5" t="s">
        <v>23</v>
      </c>
      <c r="C35" s="6" t="str" cm="1">
        <f t="array" ref="C35">_xlfn.XLOOKUP(Table4[[#This Row],[Account]],Table25[[#All],[Account]],Table25[[#All],[Account Type2]])</f>
        <v>Roth IRA</v>
      </c>
      <c r="D35" s="6" t="str" cm="1">
        <f t="array" ref="D35">_xlfn.XLOOKUP(Table4[[#This Row],[Account]],Table25[[#All],[Account]],Table25[[#All],[Owner]])</f>
        <v>Shaun</v>
      </c>
      <c r="E35" t="str">
        <f>IF(Table4[[#This Row],[Date Sold]]&lt;&gt;"","Closed","Open")</f>
        <v>Closed</v>
      </c>
      <c r="F35" s="41" t="s">
        <v>94</v>
      </c>
      <c r="G35" s="33" t="str" cm="1">
        <f t="array" ref="G35">_xlfn.XLOOKUP(Table4[[#This Row],[Symbol]],Table36[[#All],[Symbol]],Table36[[#All],[Security Description]])</f>
        <v>AMAZON.COM INC</v>
      </c>
      <c r="H35" s="39">
        <v>41988</v>
      </c>
      <c r="I35" s="6">
        <v>1</v>
      </c>
      <c r="J35" s="37">
        <v>307.81</v>
      </c>
      <c r="K35" s="36">
        <v>45148</v>
      </c>
      <c r="L35" s="6" t="s">
        <v>92</v>
      </c>
      <c r="M35" s="42">
        <v>2</v>
      </c>
      <c r="N35" s="37">
        <v>138.56</v>
      </c>
    </row>
    <row r="36" spans="2:14" ht="16" customHeight="1" x14ac:dyDescent="0.2">
      <c r="B36" s="5" t="s">
        <v>23</v>
      </c>
      <c r="C36" s="6" t="str" cm="1">
        <f t="array" ref="C36">_xlfn.XLOOKUP(Table4[[#This Row],[Account]],Table25[[#All],[Account]],Table25[[#All],[Account Type2]])</f>
        <v>Roth IRA</v>
      </c>
      <c r="D36" s="6" t="str" cm="1">
        <f t="array" ref="D36">_xlfn.XLOOKUP(Table4[[#This Row],[Account]],Table25[[#All],[Account]],Table25[[#All],[Owner]])</f>
        <v>Shaun</v>
      </c>
      <c r="E36" t="str">
        <f>IF(Table4[[#This Row],[Date Sold]]&lt;&gt;"","Closed","Open")</f>
        <v>Closed</v>
      </c>
      <c r="F36" s="41" t="s">
        <v>94</v>
      </c>
      <c r="G36" s="33" t="str" cm="1">
        <f t="array" ref="G36">_xlfn.XLOOKUP(Table4[[#This Row],[Symbol]],Table36[[#All],[Symbol]],Table36[[#All],[Security Description]])</f>
        <v>AMAZON.COM INC</v>
      </c>
      <c r="H36" s="39">
        <v>41988</v>
      </c>
      <c r="I36" s="6">
        <v>1</v>
      </c>
      <c r="J36" s="37">
        <v>307.81</v>
      </c>
      <c r="K36" s="36">
        <v>45608</v>
      </c>
      <c r="L36" s="6" t="s">
        <v>92</v>
      </c>
      <c r="M36" s="42">
        <v>5</v>
      </c>
      <c r="N36" s="37">
        <v>206.55</v>
      </c>
    </row>
    <row r="37" spans="2:14" ht="16" customHeight="1" x14ac:dyDescent="0.2">
      <c r="B37" s="5" t="s">
        <v>23</v>
      </c>
      <c r="C37" s="6" t="str" cm="1">
        <f t="array" ref="C37">_xlfn.XLOOKUP(Table4[[#This Row],[Account]],Table25[[#All],[Account]],Table25[[#All],[Account Type2]])</f>
        <v>Roth IRA</v>
      </c>
      <c r="D37" s="6" t="str" cm="1">
        <f t="array" ref="D37">_xlfn.XLOOKUP(Table4[[#This Row],[Account]],Table25[[#All],[Account]],Table25[[#All],[Owner]])</f>
        <v>Shaun</v>
      </c>
      <c r="E37" t="str">
        <f>IF(Table4[[#This Row],[Date Sold]]&lt;&gt;"","Closed","Open")</f>
        <v>Closed</v>
      </c>
      <c r="F37" s="41" t="s">
        <v>94</v>
      </c>
      <c r="G37" s="33" t="str" cm="1">
        <f t="array" ref="G37">_xlfn.XLOOKUP(Table4[[#This Row],[Symbol]],Table36[[#All],[Symbol]],Table36[[#All],[Security Description]])</f>
        <v>AMAZON.COM INC</v>
      </c>
      <c r="H37" s="39">
        <v>42354</v>
      </c>
      <c r="I37" s="6">
        <v>1</v>
      </c>
      <c r="J37" s="37">
        <v>667.40499999999997</v>
      </c>
      <c r="K37" s="36">
        <v>44074</v>
      </c>
      <c r="L37" s="6"/>
      <c r="M37" s="42">
        <v>2</v>
      </c>
      <c r="N37" s="37">
        <v>3476.15</v>
      </c>
    </row>
    <row r="38" spans="2:14" ht="16" customHeight="1" x14ac:dyDescent="0.2">
      <c r="B38" s="5" t="s">
        <v>23</v>
      </c>
      <c r="C38" s="6" t="str" cm="1">
        <f t="array" ref="C38">_xlfn.XLOOKUP(Table4[[#This Row],[Account]],Table25[[#All],[Account]],Table25[[#All],[Account Type2]])</f>
        <v>Roth IRA</v>
      </c>
      <c r="D38" s="6" t="str" cm="1">
        <f t="array" ref="D38">_xlfn.XLOOKUP(Table4[[#This Row],[Account]],Table25[[#All],[Account]],Table25[[#All],[Owner]])</f>
        <v>Shaun</v>
      </c>
      <c r="E38" t="str">
        <f>IF(Table4[[#This Row],[Date Sold]]&lt;&gt;"","Closed","Open")</f>
        <v>Closed</v>
      </c>
      <c r="F38" s="41" t="s">
        <v>94</v>
      </c>
      <c r="G38" s="33" t="str" cm="1">
        <f t="array" ref="G38">_xlfn.XLOOKUP(Table4[[#This Row],[Symbol]],Table36[[#All],[Symbol]],Table36[[#All],[Security Description]])</f>
        <v>AMAZON.COM INC</v>
      </c>
      <c r="H38" s="39">
        <v>43837</v>
      </c>
      <c r="I38" s="6">
        <v>1</v>
      </c>
      <c r="J38" s="37">
        <v>1909.75</v>
      </c>
      <c r="K38" s="36">
        <v>44074</v>
      </c>
      <c r="L38" s="6"/>
      <c r="M38" s="42">
        <v>1</v>
      </c>
      <c r="N38" s="37">
        <v>3476.15</v>
      </c>
    </row>
    <row r="39" spans="2:14" ht="16" customHeight="1" x14ac:dyDescent="0.2">
      <c r="B39" s="5" t="s">
        <v>23</v>
      </c>
      <c r="C39" s="6" t="str" cm="1">
        <f t="array" ref="C39">_xlfn.XLOOKUP(Table4[[#This Row],[Account]],Table25[[#All],[Account]],Table25[[#All],[Account Type2]])</f>
        <v>Roth IRA</v>
      </c>
      <c r="D39" s="6" t="str" cm="1">
        <f t="array" ref="D39">_xlfn.XLOOKUP(Table4[[#This Row],[Account]],Table25[[#All],[Account]],Table25[[#All],[Owner]])</f>
        <v>Shaun</v>
      </c>
      <c r="E39" t="str">
        <f>IF(Table4[[#This Row],[Date Sold]]&lt;&gt;"","Closed","Open")</f>
        <v>Open</v>
      </c>
      <c r="F39" s="41" t="s">
        <v>94</v>
      </c>
      <c r="G39" s="33" t="str" cm="1">
        <f t="array" ref="G39">_xlfn.XLOOKUP(Table4[[#This Row],[Symbol]],Table36[[#All],[Symbol]],Table36[[#All],[Security Description]])</f>
        <v>AMAZON.COM INC</v>
      </c>
      <c r="H39" s="39">
        <v>44019</v>
      </c>
      <c r="I39" s="6">
        <v>1</v>
      </c>
      <c r="J39" s="37">
        <v>3041.92</v>
      </c>
      <c r="K39" s="36"/>
      <c r="L39" s="6"/>
      <c r="M39" s="42"/>
      <c r="N39" s="37" t="s">
        <v>91</v>
      </c>
    </row>
    <row r="40" spans="2:14" ht="16" customHeight="1" x14ac:dyDescent="0.2">
      <c r="B40" s="5" t="s">
        <v>23</v>
      </c>
      <c r="C40" s="6" t="str" cm="1">
        <f t="array" ref="C40">_xlfn.XLOOKUP(Table4[[#This Row],[Account]],Table25[[#All],[Account]],Table25[[#All],[Account Type2]])</f>
        <v>Roth IRA</v>
      </c>
      <c r="D40" s="6" t="str" cm="1">
        <f t="array" ref="D40">_xlfn.XLOOKUP(Table4[[#This Row],[Account]],Table25[[#All],[Account]],Table25[[#All],[Owner]])</f>
        <v>Shaun</v>
      </c>
      <c r="E40" t="str">
        <f>IF(Table4[[#This Row],[Date Sold]]&lt;&gt;"","Closed","Open")</f>
        <v>Open</v>
      </c>
      <c r="F40" s="41" t="s">
        <v>94</v>
      </c>
      <c r="G40" s="33" t="str" cm="1">
        <f t="array" ref="G40">_xlfn.XLOOKUP(Table4[[#This Row],[Symbol]],Table36[[#All],[Symbol]],Table36[[#All],[Security Description]])</f>
        <v>AMAZON.COM INC</v>
      </c>
      <c r="H40" s="39">
        <v>44370</v>
      </c>
      <c r="I40" s="6">
        <v>1</v>
      </c>
      <c r="J40" s="37">
        <v>3507.14</v>
      </c>
      <c r="K40" s="36"/>
      <c r="L40" s="6"/>
      <c r="M40" s="42"/>
      <c r="N40" s="37" t="s">
        <v>91</v>
      </c>
    </row>
    <row r="41" spans="2:14" ht="16" customHeight="1" x14ac:dyDescent="0.2">
      <c r="B41" s="5" t="s">
        <v>23</v>
      </c>
      <c r="C41" s="6" t="str" cm="1">
        <f t="array" ref="C41">_xlfn.XLOOKUP(Table4[[#This Row],[Account]],Table25[[#All],[Account]],Table25[[#All],[Account Type2]])</f>
        <v>Roth IRA</v>
      </c>
      <c r="D41" s="6" t="str" cm="1">
        <f t="array" ref="D41">_xlfn.XLOOKUP(Table4[[#This Row],[Account]],Table25[[#All],[Account]],Table25[[#All],[Owner]])</f>
        <v>Shaun</v>
      </c>
      <c r="E41" t="str">
        <f>IF(Table4[[#This Row],[Date Sold]]&lt;&gt;"","Closed","Open")</f>
        <v>Open</v>
      </c>
      <c r="F41" s="41" t="s">
        <v>94</v>
      </c>
      <c r="G41" s="33" t="str" cm="1">
        <f t="array" ref="G41">_xlfn.XLOOKUP(Table4[[#This Row],[Symbol]],Table36[[#All],[Symbol]],Table36[[#All],[Security Description]])</f>
        <v>AMAZON.COM INC</v>
      </c>
      <c r="H41" s="40">
        <v>45293</v>
      </c>
      <c r="I41" s="6">
        <v>1</v>
      </c>
      <c r="J41" s="37">
        <v>149.1</v>
      </c>
      <c r="K41" s="36"/>
      <c r="L41" s="6"/>
      <c r="M41" s="42"/>
      <c r="N41" s="37" t="s">
        <v>91</v>
      </c>
    </row>
    <row r="42" spans="2:14" ht="16" customHeight="1" x14ac:dyDescent="0.2">
      <c r="B42" s="7" t="s">
        <v>25</v>
      </c>
      <c r="C42" s="64" t="str" cm="1">
        <f t="array" ref="C42">_xlfn.XLOOKUP(Table4[[#This Row],[Account]],Table25[[#All],[Account]],Table25[[#All],[Account Type2]])</f>
        <v>HSA</v>
      </c>
      <c r="D42" s="64" t="str" cm="1">
        <f t="array" ref="D42">_xlfn.XLOOKUP(Table4[[#This Row],[Account]],Table25[[#All],[Account]],Table25[[#All],[Owner]])</f>
        <v>Jackson</v>
      </c>
      <c r="E42" t="str">
        <f>IF(Table4[[#This Row],[Date Sold]]&lt;&gt;"","Closed","Open")</f>
        <v>Open</v>
      </c>
      <c r="F42" s="66" t="s">
        <v>186</v>
      </c>
      <c r="G42" s="67" t="str" cm="1">
        <f t="array" ref="G42">_xlfn.XLOOKUP(Table4[[#This Row],[Symbol]],Table36[[#All],[Symbol]],Table36[[#All],[Security Description]])</f>
        <v>DEERE &amp; CO</v>
      </c>
      <c r="H42" s="40">
        <v>45273</v>
      </c>
      <c r="I42" s="65">
        <v>1</v>
      </c>
      <c r="J42" s="68">
        <v>377.01</v>
      </c>
      <c r="K42" s="69"/>
      <c r="L42" s="65"/>
      <c r="M42" s="70"/>
      <c r="N42" s="68"/>
    </row>
    <row r="43" spans="2:14" ht="16" customHeight="1" x14ac:dyDescent="0.2">
      <c r="B43" s="7" t="s">
        <v>25</v>
      </c>
      <c r="C43" s="62" t="str" cm="1">
        <f t="array" ref="C43">_xlfn.XLOOKUP(Table4[[#This Row],[Account]],Table25[[#All],[Account]],Table25[[#All],[Account Type2]])</f>
        <v>HSA</v>
      </c>
      <c r="D43" s="62" t="str" cm="1">
        <f t="array" ref="D43">_xlfn.XLOOKUP(Table4[[#This Row],[Account]],Table25[[#All],[Account]],Table25[[#All],[Owner]])</f>
        <v>Jackson</v>
      </c>
      <c r="E43" t="str">
        <f>IF(Table4[[#This Row],[Date Sold]]&lt;&gt;"","Closed","Open")</f>
        <v>Open</v>
      </c>
      <c r="F43" s="41" t="s">
        <v>186</v>
      </c>
      <c r="G43" s="63" t="str" cm="1">
        <f t="array" ref="G43">_xlfn.XLOOKUP(Table4[[#This Row],[Symbol]],Table36[[#All],[Symbol]],Table36[[#All],[Security Description]])</f>
        <v>DEERE &amp; CO</v>
      </c>
      <c r="H43" s="39">
        <v>45637</v>
      </c>
      <c r="I43" s="6">
        <v>1</v>
      </c>
      <c r="J43" s="37">
        <v>448.03</v>
      </c>
      <c r="K43" s="36"/>
      <c r="L43" s="6"/>
      <c r="M43" s="42"/>
      <c r="N43" s="37"/>
    </row>
    <row r="44" spans="2:14" ht="16" customHeight="1" x14ac:dyDescent="0.2">
      <c r="B44" s="7" t="s">
        <v>25</v>
      </c>
      <c r="C44" s="64" t="str" cm="1">
        <f t="array" ref="C44">_xlfn.XLOOKUP(Table4[[#This Row],[Account]],Table25[[#All],[Account]],Table25[[#All],[Account Type2]])</f>
        <v>HSA</v>
      </c>
      <c r="D44" s="64" t="str" cm="1">
        <f t="array" ref="D44">_xlfn.XLOOKUP(Table4[[#This Row],[Account]],Table25[[#All],[Account]],Table25[[#All],[Owner]])</f>
        <v>Jackson</v>
      </c>
      <c r="E44" t="str">
        <f>IF(Table4[[#This Row],[Date Sold]]&lt;&gt;"","Closed","Open")</f>
        <v>Open</v>
      </c>
      <c r="F44" s="66" t="s">
        <v>186</v>
      </c>
      <c r="G44" s="67" t="str" cm="1">
        <f t="array" ref="G44">_xlfn.XLOOKUP(Table4[[#This Row],[Symbol]],Table36[[#All],[Symbol]],Table36[[#All],[Security Description]])</f>
        <v>DEERE &amp; CO</v>
      </c>
      <c r="H44" s="40">
        <v>46002</v>
      </c>
      <c r="I44" s="65">
        <v>1</v>
      </c>
      <c r="J44" s="68">
        <v>475.94</v>
      </c>
      <c r="K44" s="69"/>
      <c r="L44" s="65"/>
      <c r="M44" s="70"/>
      <c r="N44" s="68"/>
    </row>
    <row r="45" spans="2:14" ht="16" customHeight="1" x14ac:dyDescent="0.2">
      <c r="B45" s="7" t="s">
        <v>25</v>
      </c>
      <c r="C45" s="62" t="str" cm="1">
        <f t="array" ref="C45">_xlfn.XLOOKUP(Table4[[#This Row],[Account]],Table25[[#All],[Account]],Table25[[#All],[Account Type2]])</f>
        <v>HSA</v>
      </c>
      <c r="D45" s="62" t="str" cm="1">
        <f t="array" ref="D45">_xlfn.XLOOKUP(Table4[[#This Row],[Account]],Table25[[#All],[Account]],Table25[[#All],[Owner]])</f>
        <v>Jackson</v>
      </c>
      <c r="E45" t="str">
        <f>IF(Table4[[#This Row],[Date Sold]]&lt;&gt;"","Closed","Open")</f>
        <v>Open</v>
      </c>
      <c r="F45" s="41" t="s">
        <v>186</v>
      </c>
      <c r="G45" s="63" t="str" cm="1">
        <f t="array" ref="G45">_xlfn.XLOOKUP(Table4[[#This Row],[Symbol]],Table36[[#All],[Symbol]],Table36[[#All],[Security Description]])</f>
        <v>DEERE &amp; CO</v>
      </c>
      <c r="H45" s="39">
        <v>46004</v>
      </c>
      <c r="I45" s="6">
        <v>1</v>
      </c>
      <c r="J45" s="37">
        <v>484.8</v>
      </c>
      <c r="K45" s="36"/>
      <c r="L45" s="6"/>
      <c r="M45" s="42"/>
      <c r="N45" s="37"/>
    </row>
    <row r="46" spans="2:14" ht="16" customHeight="1" x14ac:dyDescent="0.2">
      <c r="B46" s="7" t="s">
        <v>25</v>
      </c>
      <c r="C46" s="62" t="str" cm="1">
        <f t="array" ref="C46">_xlfn.XLOOKUP(Table4[[#This Row],[Account]],Table25[[#All],[Account]],Table25[[#All],[Account Type2]])</f>
        <v>HSA</v>
      </c>
      <c r="D46" s="62" t="str" cm="1">
        <f t="array" ref="D46">_xlfn.XLOOKUP(Table4[[#This Row],[Account]],Table25[[#All],[Account]],Table25[[#All],[Owner]])</f>
        <v>Jackson</v>
      </c>
      <c r="E46" t="str">
        <f>IF(Table4[[#This Row],[Date Sold]]&lt;&gt;"","Closed","Open")</f>
        <v>Open</v>
      </c>
      <c r="F46" s="41" t="s">
        <v>252</v>
      </c>
      <c r="G46" s="63" t="str" cm="1">
        <f t="array" ref="G46">_xlfn.XLOOKUP(Table4[[#This Row],[Symbol]],Table36[[#All],[Symbol]],Table36[[#All],[Security Description]])</f>
        <v>MICROSOFT CORP</v>
      </c>
      <c r="H46" s="39">
        <v>44305</v>
      </c>
      <c r="I46" s="6">
        <v>1</v>
      </c>
      <c r="J46" s="37">
        <v>258.75</v>
      </c>
      <c r="K46" s="36"/>
      <c r="L46" s="6"/>
      <c r="M46" s="42"/>
      <c r="N46" s="37"/>
    </row>
    <row r="47" spans="2:14" ht="16" customHeight="1" x14ac:dyDescent="0.2">
      <c r="B47" s="5" t="s">
        <v>23</v>
      </c>
      <c r="C47" s="64" t="str" cm="1">
        <f t="array" ref="C47">_xlfn.XLOOKUP(Table4[[#This Row],[Account]],Table25[[#All],[Account]],Table25[[#All],[Account Type2]])</f>
        <v>Roth IRA</v>
      </c>
      <c r="D47" s="64" t="str" cm="1">
        <f t="array" ref="D47">_xlfn.XLOOKUP(Table4[[#This Row],[Account]],Table25[[#All],[Account]],Table25[[#All],[Owner]])</f>
        <v>Shaun</v>
      </c>
      <c r="E47" t="str">
        <f>IF(Table4[[#This Row],[Date Sold]]&lt;&gt;"","Closed","Open")</f>
        <v>Open</v>
      </c>
      <c r="F47" s="66" t="s">
        <v>252</v>
      </c>
      <c r="G47" s="67" t="str" cm="1">
        <f t="array" ref="G47">_xlfn.XLOOKUP(Table4[[#This Row],[Symbol]],Table36[[#All],[Symbol]],Table36[[#All],[Security Description]])</f>
        <v>MICROSOFT CORP</v>
      </c>
      <c r="H47" s="40">
        <v>44508</v>
      </c>
      <c r="I47" s="65">
        <v>1</v>
      </c>
      <c r="J47" s="68">
        <v>335.64</v>
      </c>
      <c r="K47" s="69"/>
      <c r="L47" s="65"/>
      <c r="M47" s="70"/>
      <c r="N47" s="68"/>
    </row>
    <row r="48" spans="2:14" ht="16" customHeight="1" x14ac:dyDescent="0.2">
      <c r="B48" s="5" t="s">
        <v>23</v>
      </c>
      <c r="C48" s="62" t="str" cm="1">
        <f t="array" ref="C48">_xlfn.XLOOKUP(Table4[[#This Row],[Account]],Table25[[#All],[Account]],Table25[[#All],[Account Type2]])</f>
        <v>Roth IRA</v>
      </c>
      <c r="D48" s="62" t="str" cm="1">
        <f t="array" ref="D48">_xlfn.XLOOKUP(Table4[[#This Row],[Account]],Table25[[#All],[Account]],Table25[[#All],[Owner]])</f>
        <v>Shaun</v>
      </c>
      <c r="E48" t="str">
        <f>IF(Table4[[#This Row],[Date Sold]]&lt;&gt;"","Closed","Open")</f>
        <v>Open</v>
      </c>
      <c r="F48" s="41" t="s">
        <v>252</v>
      </c>
      <c r="G48" s="63" t="str" cm="1">
        <f t="array" ref="G48">_xlfn.XLOOKUP(Table4[[#This Row],[Symbol]],Table36[[#All],[Symbol]],Table36[[#All],[Security Description]])</f>
        <v>MICROSOFT CORP</v>
      </c>
      <c r="H48" s="39">
        <v>44599</v>
      </c>
      <c r="I48" s="6">
        <v>1</v>
      </c>
      <c r="J48" s="37">
        <v>305.17</v>
      </c>
      <c r="K48" s="36"/>
      <c r="L48" s="6"/>
      <c r="M48" s="42"/>
      <c r="N48" s="37"/>
    </row>
    <row r="49" spans="2:14" ht="16" customHeight="1" x14ac:dyDescent="0.2">
      <c r="B49" s="7" t="s">
        <v>25</v>
      </c>
      <c r="C49" s="62" t="str" cm="1">
        <f t="array" ref="C49">_xlfn.XLOOKUP(Table4[[#This Row],[Account]],Table25[[#All],[Account]],Table25[[#All],[Account Type2]])</f>
        <v>HSA</v>
      </c>
      <c r="D49" s="62" t="str" cm="1">
        <f t="array" ref="D49">_xlfn.XLOOKUP(Table4[[#This Row],[Account]],Table25[[#All],[Account]],Table25[[#All],[Owner]])</f>
        <v>Jackson</v>
      </c>
      <c r="E49" t="str">
        <f>IF(Table4[[#This Row],[Date Sold]]&lt;&gt;"","Closed","Open")</f>
        <v>Open</v>
      </c>
      <c r="F49" s="41" t="s">
        <v>252</v>
      </c>
      <c r="G49" s="63" t="str" cm="1">
        <f t="array" ref="G49">_xlfn.XLOOKUP(Table4[[#This Row],[Symbol]],Table36[[#All],[Symbol]],Table36[[#All],[Security Description]])</f>
        <v>MICROSOFT CORP</v>
      </c>
      <c r="H49" s="39">
        <v>44657</v>
      </c>
      <c r="I49" s="6">
        <v>1</v>
      </c>
      <c r="J49" s="37">
        <v>300.51</v>
      </c>
      <c r="K49" s="36"/>
      <c r="L49" s="6"/>
      <c r="M49" s="42"/>
      <c r="N49" s="37"/>
    </row>
    <row r="50" spans="2:14" ht="16" customHeight="1" x14ac:dyDescent="0.2">
      <c r="B50" s="7" t="s">
        <v>25</v>
      </c>
      <c r="C50" s="64" t="str" cm="1">
        <f t="array" ref="C50">_xlfn.XLOOKUP(Table4[[#This Row],[Account]],Table25[[#All],[Account]],Table25[[#All],[Account Type2]])</f>
        <v>HSA</v>
      </c>
      <c r="D50" s="64" t="str" cm="1">
        <f t="array" ref="D50">_xlfn.XLOOKUP(Table4[[#This Row],[Account]],Table25[[#All],[Account]],Table25[[#All],[Owner]])</f>
        <v>Jackson</v>
      </c>
      <c r="E50" t="str">
        <f>IF(Table4[[#This Row],[Date Sold]]&lt;&gt;"","Closed","Open")</f>
        <v>Open</v>
      </c>
      <c r="F50" s="66" t="s">
        <v>252</v>
      </c>
      <c r="G50" s="67" t="str" cm="1">
        <f t="array" ref="G50">_xlfn.XLOOKUP(Table4[[#This Row],[Symbol]],Table36[[#All],[Symbol]],Table36[[#All],[Security Description]])</f>
        <v>MICROSOFT CORP</v>
      </c>
      <c r="H50" s="40">
        <v>45236</v>
      </c>
      <c r="I50" s="65">
        <v>1</v>
      </c>
      <c r="J50" s="68">
        <v>357.1</v>
      </c>
      <c r="K50" s="69"/>
      <c r="L50" s="65"/>
      <c r="M50" s="70"/>
      <c r="N50" s="68"/>
    </row>
    <row r="51" spans="2:14" ht="16" customHeight="1" x14ac:dyDescent="0.2">
      <c r="B51" s="6" t="s">
        <v>21</v>
      </c>
      <c r="C51" s="62" t="str" cm="1">
        <f t="array" ref="C51">_xlfn.XLOOKUP(Table4[[#This Row],[Account]],Table25[[#All],[Account]],Table25[[#All],[Account Type2]])</f>
        <v>Brokerage</v>
      </c>
      <c r="D51" s="62" t="str" cm="1">
        <f t="array" ref="D51">_xlfn.XLOOKUP(Table4[[#This Row],[Account]],Table25[[#All],[Account]],Table25[[#All],[Owner]])</f>
        <v>Drew</v>
      </c>
      <c r="E51" s="6" t="str">
        <f>IF(Table4[[#This Row],[Date Sold]]&lt;&gt;"","Closed","Open")</f>
        <v>Open</v>
      </c>
      <c r="F51" s="41" t="s">
        <v>262</v>
      </c>
      <c r="G51" s="63" t="str" cm="1">
        <f t="array" ref="G51">_xlfn.XLOOKUP(Table4[[#This Row],[Symbol]],Table36[[#All],[Symbol]],Table36[[#All],[Security Description]])</f>
        <v>NETFLIX INC</v>
      </c>
      <c r="H51" s="39">
        <v>41758</v>
      </c>
      <c r="I51" s="6">
        <v>1</v>
      </c>
      <c r="J51" s="37">
        <v>314.86</v>
      </c>
      <c r="K51" s="36"/>
      <c r="L51" s="6"/>
      <c r="M51" s="42"/>
      <c r="N51" s="37"/>
    </row>
    <row r="52" spans="2:14" ht="16" customHeight="1" x14ac:dyDescent="0.2">
      <c r="B52" s="6" t="s">
        <v>21</v>
      </c>
      <c r="C52" s="62" t="str" cm="1">
        <f t="array" ref="C52">_xlfn.XLOOKUP(Table4[[#This Row],[Account]],Table25[[#All],[Account]],Table25[[#All],[Account Type2]])</f>
        <v>Brokerage</v>
      </c>
      <c r="D52" s="62" t="str" cm="1">
        <f t="array" ref="D52">_xlfn.XLOOKUP(Table4[[#This Row],[Account]],Table25[[#All],[Account]],Table25[[#All],[Owner]])</f>
        <v>Drew</v>
      </c>
      <c r="E52" s="6" t="str">
        <f>IF(Table4[[#This Row],[Date Sold]]&lt;&gt;"","Closed","Open")</f>
        <v>Open</v>
      </c>
      <c r="F52" s="41" t="s">
        <v>262</v>
      </c>
      <c r="G52" s="63" t="str" cm="1">
        <f t="array" ref="G52">_xlfn.XLOOKUP(Table4[[#This Row],[Symbol]],Table36[[#All],[Symbol]],Table36[[#All],[Security Description]])</f>
        <v>NETFLIX INC</v>
      </c>
      <c r="H52" s="39">
        <v>41758</v>
      </c>
      <c r="I52" s="6">
        <v>1</v>
      </c>
      <c r="J52" s="37">
        <v>314.85999999999996</v>
      </c>
      <c r="K52" s="36"/>
      <c r="L52" s="6"/>
      <c r="M52" s="42"/>
      <c r="N52" s="37"/>
    </row>
    <row r="53" spans="2:14" ht="16" customHeight="1" x14ac:dyDescent="0.2">
      <c r="B53" s="6" t="s">
        <v>21</v>
      </c>
      <c r="C53" s="62" t="str" cm="1">
        <f t="array" ref="C53">_xlfn.XLOOKUP(Table4[[#This Row],[Account]],Table25[[#All],[Account]],Table25[[#All],[Account Type2]])</f>
        <v>Brokerage</v>
      </c>
      <c r="D53" s="62" t="str" cm="1">
        <f t="array" ref="D53">_xlfn.XLOOKUP(Table4[[#This Row],[Account]],Table25[[#All],[Account]],Table25[[#All],[Owner]])</f>
        <v>Drew</v>
      </c>
      <c r="E53" s="6" t="str">
        <f>IF(Table4[[#This Row],[Date Sold]]&lt;&gt;"","Closed","Open")</f>
        <v>Open</v>
      </c>
      <c r="F53" s="41" t="s">
        <v>262</v>
      </c>
      <c r="G53" s="63" t="str" cm="1">
        <f t="array" ref="G53">_xlfn.XLOOKUP(Table4[[#This Row],[Symbol]],Table36[[#All],[Symbol]],Table36[[#All],[Security Description]])</f>
        <v>NETFLIX INC</v>
      </c>
      <c r="H53" s="39">
        <v>41758</v>
      </c>
      <c r="I53" s="6">
        <v>1</v>
      </c>
      <c r="J53" s="37">
        <v>314.85999999999996</v>
      </c>
      <c r="K53" s="36"/>
      <c r="L53" s="6"/>
      <c r="M53" s="42"/>
      <c r="N53" s="37"/>
    </row>
    <row r="54" spans="2:14" ht="16" customHeight="1" x14ac:dyDescent="0.2">
      <c r="B54" s="6" t="s">
        <v>21</v>
      </c>
      <c r="C54" s="62" t="str" cm="1">
        <f t="array" ref="C54">_xlfn.XLOOKUP(Table4[[#This Row],[Account]],Table25[[#All],[Account]],Table25[[#All],[Account Type2]])</f>
        <v>Brokerage</v>
      </c>
      <c r="D54" s="62" t="str" cm="1">
        <f t="array" ref="D54">_xlfn.XLOOKUP(Table4[[#This Row],[Account]],Table25[[#All],[Account]],Table25[[#All],[Owner]])</f>
        <v>Drew</v>
      </c>
      <c r="E54" s="6" t="str">
        <f>IF(Table4[[#This Row],[Date Sold]]&lt;&gt;"","Closed","Open")</f>
        <v>Open</v>
      </c>
      <c r="F54" s="41" t="s">
        <v>262</v>
      </c>
      <c r="G54" s="63" t="str" cm="1">
        <f t="array" ref="G54">_xlfn.XLOOKUP(Table4[[#This Row],[Symbol]],Table36[[#All],[Symbol]],Table36[[#All],[Security Description]])</f>
        <v>NETFLIX INC</v>
      </c>
      <c r="H54" s="39">
        <v>41758</v>
      </c>
      <c r="I54" s="6">
        <v>1</v>
      </c>
      <c r="J54" s="37">
        <v>314.85999999999996</v>
      </c>
      <c r="K54" s="36"/>
      <c r="L54" s="6"/>
      <c r="M54" s="42"/>
      <c r="N54" s="37"/>
    </row>
    <row r="55" spans="2:14" ht="16" customHeight="1" x14ac:dyDescent="0.2">
      <c r="B55" s="6" t="s">
        <v>21</v>
      </c>
      <c r="C55" s="62" t="str" cm="1">
        <f t="array" ref="C55">_xlfn.XLOOKUP(Table4[[#This Row],[Account]],Table25[[#All],[Account]],Table25[[#All],[Account Type2]])</f>
        <v>Brokerage</v>
      </c>
      <c r="D55" s="62" t="str" cm="1">
        <f t="array" ref="D55">_xlfn.XLOOKUP(Table4[[#This Row],[Account]],Table25[[#All],[Account]],Table25[[#All],[Owner]])</f>
        <v>Drew</v>
      </c>
      <c r="E55" s="6" t="str">
        <f>IF(Table4[[#This Row],[Date Sold]]&lt;&gt;"","Closed","Open")</f>
        <v>Open</v>
      </c>
      <c r="F55" s="41" t="s">
        <v>262</v>
      </c>
      <c r="G55" s="63" t="str" cm="1">
        <f t="array" ref="G55">_xlfn.XLOOKUP(Table4[[#This Row],[Symbol]],Table36[[#All],[Symbol]],Table36[[#All],[Security Description]])</f>
        <v>NETFLIX INC</v>
      </c>
      <c r="H55" s="39">
        <v>41758</v>
      </c>
      <c r="I55" s="6">
        <v>1</v>
      </c>
      <c r="J55" s="37">
        <v>314.85999999999996</v>
      </c>
      <c r="K55" s="36"/>
      <c r="L55" s="6"/>
      <c r="M55" s="42"/>
      <c r="N55" s="37"/>
    </row>
    <row r="56" spans="2:14" ht="16" customHeight="1" x14ac:dyDescent="0.2">
      <c r="B56" s="6" t="s">
        <v>21</v>
      </c>
      <c r="C56" s="62" t="str" cm="1">
        <f t="array" ref="C56">_xlfn.XLOOKUP(Table4[[#This Row],[Account]],Table25[[#All],[Account]],Table25[[#All],[Account Type2]])</f>
        <v>Brokerage</v>
      </c>
      <c r="D56" s="62" t="str" cm="1">
        <f t="array" ref="D56">_xlfn.XLOOKUP(Table4[[#This Row],[Account]],Table25[[#All],[Account]],Table25[[#All],[Owner]])</f>
        <v>Drew</v>
      </c>
      <c r="E56" s="6" t="str">
        <f>IF(Table4[[#This Row],[Date Sold]]&lt;&gt;"","Closed","Open")</f>
        <v>Open</v>
      </c>
      <c r="F56" s="41" t="s">
        <v>262</v>
      </c>
      <c r="G56" s="63" t="str" cm="1">
        <f t="array" ref="G56">_xlfn.XLOOKUP(Table4[[#This Row],[Symbol]],Table36[[#All],[Symbol]],Table36[[#All],[Security Description]])</f>
        <v>NETFLIX INC</v>
      </c>
      <c r="H56" s="39">
        <v>41758</v>
      </c>
      <c r="I56" s="6">
        <v>1</v>
      </c>
      <c r="J56" s="37">
        <v>314.85999999999996</v>
      </c>
      <c r="K56" s="36"/>
      <c r="L56" s="6"/>
      <c r="M56" s="42"/>
      <c r="N56" s="37"/>
    </row>
    <row r="57" spans="2:14" ht="16" customHeight="1" x14ac:dyDescent="0.2">
      <c r="B57" s="6" t="s">
        <v>21</v>
      </c>
      <c r="C57" s="62" t="str" cm="1">
        <f t="array" ref="C57">_xlfn.XLOOKUP(Table4[[#This Row],[Account]],Table25[[#All],[Account]],Table25[[#All],[Account Type2]])</f>
        <v>Brokerage</v>
      </c>
      <c r="D57" s="62" t="str" cm="1">
        <f t="array" ref="D57">_xlfn.XLOOKUP(Table4[[#This Row],[Account]],Table25[[#All],[Account]],Table25[[#All],[Owner]])</f>
        <v>Drew</v>
      </c>
      <c r="E57" s="6" t="str">
        <f>IF(Table4[[#This Row],[Date Sold]]&lt;&gt;"","Closed","Open")</f>
        <v>Open</v>
      </c>
      <c r="F57" s="41" t="s">
        <v>262</v>
      </c>
      <c r="G57" s="63" t="str" cm="1">
        <f t="array" ref="G57">_xlfn.XLOOKUP(Table4[[#This Row],[Symbol]],Table36[[#All],[Symbol]],Table36[[#All],[Security Description]])</f>
        <v>NETFLIX INC</v>
      </c>
      <c r="H57" s="39">
        <v>41758</v>
      </c>
      <c r="I57" s="6">
        <v>1</v>
      </c>
      <c r="J57" s="37">
        <v>314.85999999999996</v>
      </c>
      <c r="K57" s="36"/>
      <c r="L57" s="6"/>
      <c r="M57" s="42"/>
      <c r="N57" s="37"/>
    </row>
    <row r="58" spans="2:14" ht="16" customHeight="1" x14ac:dyDescent="0.2">
      <c r="B58" s="6" t="s">
        <v>21</v>
      </c>
      <c r="C58" s="62" t="str" cm="1">
        <f t="array" ref="C58">_xlfn.XLOOKUP(Table4[[#This Row],[Account]],Table25[[#All],[Account]],Table25[[#All],[Account Type2]])</f>
        <v>Brokerage</v>
      </c>
      <c r="D58" s="62" t="str" cm="1">
        <f t="array" ref="D58">_xlfn.XLOOKUP(Table4[[#This Row],[Account]],Table25[[#All],[Account]],Table25[[#All],[Owner]])</f>
        <v>Drew</v>
      </c>
      <c r="E58" s="6" t="str">
        <f>IF(Table4[[#This Row],[Date Sold]]&lt;&gt;"","Closed","Open")</f>
        <v>Open</v>
      </c>
      <c r="F58" s="41" t="s">
        <v>262</v>
      </c>
      <c r="G58" s="63" t="str" cm="1">
        <f t="array" ref="G58">_xlfn.XLOOKUP(Table4[[#This Row],[Symbol]],Table36[[#All],[Symbol]],Table36[[#All],[Security Description]])</f>
        <v>NETFLIX INC</v>
      </c>
      <c r="H58" s="39">
        <v>41807</v>
      </c>
      <c r="I58" s="6">
        <v>1</v>
      </c>
      <c r="J58" s="37">
        <v>441.98</v>
      </c>
      <c r="K58" s="36"/>
      <c r="L58" s="6"/>
      <c r="M58" s="42"/>
      <c r="N58" s="37"/>
    </row>
    <row r="59" spans="2:14" ht="16" customHeight="1" x14ac:dyDescent="0.2">
      <c r="B59" s="6" t="s">
        <v>21</v>
      </c>
      <c r="C59" s="62" t="str" cm="1">
        <f t="array" ref="C59">_xlfn.XLOOKUP(Table4[[#This Row],[Account]],Table25[[#All],[Account]],Table25[[#All],[Account Type2]])</f>
        <v>Brokerage</v>
      </c>
      <c r="D59" s="62" t="str" cm="1">
        <f t="array" ref="D59">_xlfn.XLOOKUP(Table4[[#This Row],[Account]],Table25[[#All],[Account]],Table25[[#All],[Owner]])</f>
        <v>Drew</v>
      </c>
      <c r="E59" s="6" t="str">
        <f>IF(Table4[[#This Row],[Date Sold]]&lt;&gt;"","Closed","Open")</f>
        <v>Open</v>
      </c>
      <c r="F59" s="41" t="s">
        <v>262</v>
      </c>
      <c r="G59" s="63" t="str" cm="1">
        <f t="array" ref="G59">_xlfn.XLOOKUP(Table4[[#This Row],[Symbol]],Table36[[#All],[Symbol]],Table36[[#All],[Security Description]])</f>
        <v>NETFLIX INC</v>
      </c>
      <c r="H59" s="39">
        <v>41807</v>
      </c>
      <c r="I59" s="6">
        <v>1</v>
      </c>
      <c r="J59" s="37">
        <v>441.98</v>
      </c>
      <c r="K59" s="36"/>
      <c r="L59" s="6"/>
      <c r="M59" s="42"/>
      <c r="N59" s="37"/>
    </row>
    <row r="60" spans="2:14" ht="16" customHeight="1" x14ac:dyDescent="0.2">
      <c r="B60" s="6" t="s">
        <v>21</v>
      </c>
      <c r="C60" s="62" t="str" cm="1">
        <f t="array" ref="C60">_xlfn.XLOOKUP(Table4[[#This Row],[Account]],Table25[[#All],[Account]],Table25[[#All],[Account Type2]])</f>
        <v>Brokerage</v>
      </c>
      <c r="D60" s="62" t="str" cm="1">
        <f t="array" ref="D60">_xlfn.XLOOKUP(Table4[[#This Row],[Account]],Table25[[#All],[Account]],Table25[[#All],[Owner]])</f>
        <v>Drew</v>
      </c>
      <c r="E60" s="6" t="str">
        <f>IF(Table4[[#This Row],[Date Sold]]&lt;&gt;"","Closed","Open")</f>
        <v>Open</v>
      </c>
      <c r="F60" s="41" t="s">
        <v>262</v>
      </c>
      <c r="G60" s="63" t="str" cm="1">
        <f t="array" ref="G60">_xlfn.XLOOKUP(Table4[[#This Row],[Symbol]],Table36[[#All],[Symbol]],Table36[[#All],[Security Description]])</f>
        <v>NETFLIX INC</v>
      </c>
      <c r="H60" s="39">
        <v>41807</v>
      </c>
      <c r="I60" s="6">
        <v>1</v>
      </c>
      <c r="J60" s="37">
        <v>441.98</v>
      </c>
      <c r="K60" s="36"/>
      <c r="L60" s="6"/>
      <c r="M60" s="42"/>
      <c r="N60" s="37"/>
    </row>
    <row r="61" spans="2:14" ht="16" customHeight="1" x14ac:dyDescent="0.2">
      <c r="B61" s="6" t="s">
        <v>21</v>
      </c>
      <c r="C61" s="62" t="str" cm="1">
        <f t="array" ref="C61">_xlfn.XLOOKUP(Table4[[#This Row],[Account]],Table25[[#All],[Account]],Table25[[#All],[Account Type2]])</f>
        <v>Brokerage</v>
      </c>
      <c r="D61" s="62" t="str" cm="1">
        <f t="array" ref="D61">_xlfn.XLOOKUP(Table4[[#This Row],[Account]],Table25[[#All],[Account]],Table25[[#All],[Owner]])</f>
        <v>Drew</v>
      </c>
      <c r="E61" s="6" t="str">
        <f>IF(Table4[[#This Row],[Date Sold]]&lt;&gt;"","Closed","Open")</f>
        <v>Open</v>
      </c>
      <c r="F61" s="41" t="s">
        <v>262</v>
      </c>
      <c r="G61" s="63" t="str" cm="1">
        <f t="array" ref="G61">_xlfn.XLOOKUP(Table4[[#This Row],[Symbol]],Table36[[#All],[Symbol]],Table36[[#All],[Security Description]])</f>
        <v>NETFLIX INC</v>
      </c>
      <c r="H61" s="39">
        <v>41988</v>
      </c>
      <c r="I61" s="6">
        <v>1</v>
      </c>
      <c r="J61" s="37">
        <v>335.78999999999996</v>
      </c>
      <c r="K61" s="36"/>
      <c r="L61" s="6"/>
      <c r="M61" s="42"/>
      <c r="N61" s="37"/>
    </row>
    <row r="62" spans="2:14" ht="16" customHeight="1" x14ac:dyDescent="0.2">
      <c r="B62" s="6" t="s">
        <v>21</v>
      </c>
      <c r="C62" s="62" t="str" cm="1">
        <f t="array" ref="C62">_xlfn.XLOOKUP(Table4[[#This Row],[Account]],Table25[[#All],[Account]],Table25[[#All],[Account Type2]])</f>
        <v>Brokerage</v>
      </c>
      <c r="D62" s="62" t="str" cm="1">
        <f t="array" ref="D62">_xlfn.XLOOKUP(Table4[[#This Row],[Account]],Table25[[#All],[Account]],Table25[[#All],[Owner]])</f>
        <v>Drew</v>
      </c>
      <c r="E62" s="6" t="str">
        <f>IF(Table4[[#This Row],[Date Sold]]&lt;&gt;"","Closed","Open")</f>
        <v>Open</v>
      </c>
      <c r="F62" s="41" t="s">
        <v>262</v>
      </c>
      <c r="G62" s="63" t="str" cm="1">
        <f t="array" ref="G62">_xlfn.XLOOKUP(Table4[[#This Row],[Symbol]],Table36[[#All],[Symbol]],Table36[[#All],[Security Description]])</f>
        <v>NETFLIX INC</v>
      </c>
      <c r="H62" s="39">
        <v>42944</v>
      </c>
      <c r="I62" s="6">
        <v>1</v>
      </c>
      <c r="J62" s="37">
        <v>184.55312499999999</v>
      </c>
      <c r="K62" s="36"/>
      <c r="L62" s="6"/>
      <c r="M62" s="42"/>
      <c r="N62" s="37"/>
    </row>
    <row r="63" spans="2:14" ht="16" customHeight="1" x14ac:dyDescent="0.2">
      <c r="B63" s="6" t="s">
        <v>21</v>
      </c>
      <c r="C63" s="62" t="str" cm="1">
        <f t="array" ref="C63">_xlfn.XLOOKUP(Table4[[#This Row],[Account]],Table25[[#All],[Account]],Table25[[#All],[Account Type2]])</f>
        <v>Brokerage</v>
      </c>
      <c r="D63" s="62" t="str" cm="1">
        <f t="array" ref="D63">_xlfn.XLOOKUP(Table4[[#This Row],[Account]],Table25[[#All],[Account]],Table25[[#All],[Owner]])</f>
        <v>Drew</v>
      </c>
      <c r="E63" s="6" t="str">
        <f>IF(Table4[[#This Row],[Date Sold]]&lt;&gt;"","Closed","Open")</f>
        <v>Open</v>
      </c>
      <c r="F63" s="41" t="s">
        <v>262</v>
      </c>
      <c r="G63" s="63" t="str" cm="1">
        <f t="array" ref="G63">_xlfn.XLOOKUP(Table4[[#This Row],[Symbol]],Table36[[#All],[Symbol]],Table36[[#All],[Security Description]])</f>
        <v>NETFLIX INC</v>
      </c>
      <c r="H63" s="39">
        <v>42944</v>
      </c>
      <c r="I63" s="6">
        <v>1</v>
      </c>
      <c r="J63" s="37">
        <v>184.55312499999999</v>
      </c>
      <c r="K63" s="36"/>
      <c r="L63" s="6"/>
      <c r="M63" s="42"/>
      <c r="N63" s="37"/>
    </row>
    <row r="64" spans="2:14" ht="16" customHeight="1" x14ac:dyDescent="0.2">
      <c r="B64" s="6" t="s">
        <v>21</v>
      </c>
      <c r="C64" s="64" t="str" cm="1">
        <f t="array" ref="C64">_xlfn.XLOOKUP(Table4[[#This Row],[Account]],Table25[[#All],[Account]],Table25[[#All],[Account Type2]])</f>
        <v>Brokerage</v>
      </c>
      <c r="D64" s="64" t="str" cm="1">
        <f t="array" ref="D64">_xlfn.XLOOKUP(Table4[[#This Row],[Account]],Table25[[#All],[Account]],Table25[[#All],[Owner]])</f>
        <v>Drew</v>
      </c>
      <c r="E64" s="65" t="str">
        <f>IF(Table4[[#This Row],[Date Sold]]&lt;&gt;"","Closed","Open")</f>
        <v>Open</v>
      </c>
      <c r="F64" s="66" t="s">
        <v>262</v>
      </c>
      <c r="G64" s="67" t="str" cm="1">
        <f t="array" ref="G64">_xlfn.XLOOKUP(Table4[[#This Row],[Symbol]],Table36[[#All],[Symbol]],Table36[[#All],[Security Description]])</f>
        <v>NETFLIX INC</v>
      </c>
      <c r="H64" s="40">
        <v>43837</v>
      </c>
      <c r="I64" s="6">
        <v>1</v>
      </c>
      <c r="J64" s="68">
        <v>333.13</v>
      </c>
      <c r="K64" s="69"/>
      <c r="L64" s="65"/>
      <c r="M64" s="70"/>
      <c r="N64" s="68"/>
    </row>
    <row r="65" spans="2:14" ht="16" customHeight="1" x14ac:dyDescent="0.2">
      <c r="B65" s="6" t="s">
        <v>21</v>
      </c>
      <c r="C65" s="62" t="str" cm="1">
        <f t="array" ref="C65">_xlfn.XLOOKUP(Table4[[#This Row],[Account]],Table25[[#All],[Account]],Table25[[#All],[Account Type2]])</f>
        <v>Brokerage</v>
      </c>
      <c r="D65" s="62" t="str" cm="1">
        <f t="array" ref="D65">_xlfn.XLOOKUP(Table4[[#This Row],[Account]],Table25[[#All],[Account]],Table25[[#All],[Owner]])</f>
        <v>Drew</v>
      </c>
      <c r="E65" s="6" t="str">
        <f>IF(Table4[[#This Row],[Date Sold]]&lt;&gt;"","Closed","Open")</f>
        <v>Open</v>
      </c>
      <c r="F65" s="41" t="s">
        <v>262</v>
      </c>
      <c r="G65" s="63" t="str" cm="1">
        <f t="array" ref="G65">_xlfn.XLOOKUP(Table4[[#This Row],[Symbol]],Table36[[#All],[Symbol]],Table36[[#All],[Security Description]])</f>
        <v>NETFLIX INC</v>
      </c>
      <c r="H65" s="39">
        <v>44564</v>
      </c>
      <c r="I65" s="6">
        <v>1</v>
      </c>
      <c r="J65" s="37">
        <v>605.61</v>
      </c>
      <c r="K65" s="36"/>
      <c r="L65" s="6"/>
      <c r="M65" s="42"/>
      <c r="N65" s="37"/>
    </row>
    <row r="66" spans="2:14" ht="16" customHeight="1" x14ac:dyDescent="0.2">
      <c r="B66" s="7" t="s">
        <v>25</v>
      </c>
      <c r="C66" s="62" t="str" cm="1">
        <f t="array" ref="C66">_xlfn.XLOOKUP(Table4[[#This Row],[Account]],Table25[[#All],[Account]],Table25[[#All],[Account Type2]])</f>
        <v>HSA</v>
      </c>
      <c r="D66" s="62" t="str" cm="1">
        <f t="array" ref="D66">_xlfn.XLOOKUP(Table4[[#This Row],[Account]],Table25[[#All],[Account]],Table25[[#All],[Owner]])</f>
        <v>Jackson</v>
      </c>
      <c r="E66" s="6" t="str">
        <f>IF(Table4[[#This Row],[Date Sold]]&lt;&gt;"","Closed","Open")</f>
        <v>Open</v>
      </c>
      <c r="F66" s="41" t="s">
        <v>264</v>
      </c>
      <c r="G66" s="63" t="str" cm="1">
        <f t="array" ref="G66">_xlfn.XLOOKUP(Table4[[#This Row],[Symbol]],Table36[[#All],[Symbol]],Table36[[#All],[Security Description]])</f>
        <v>NIKE INC CLASS B COMNPV</v>
      </c>
      <c r="H66" s="39">
        <v>41807</v>
      </c>
      <c r="I66" s="6">
        <v>1</v>
      </c>
      <c r="J66" s="37">
        <v>75.444999999999993</v>
      </c>
      <c r="K66" s="36"/>
      <c r="L66" s="6"/>
      <c r="M66" s="42"/>
      <c r="N66" s="37"/>
    </row>
    <row r="67" spans="2:14" ht="16" customHeight="1" x14ac:dyDescent="0.2">
      <c r="B67" s="7" t="s">
        <v>25</v>
      </c>
      <c r="C67" s="62" t="str" cm="1">
        <f t="array" ref="C67">_xlfn.XLOOKUP(Table4[[#This Row],[Account]],Table25[[#All],[Account]],Table25[[#All],[Account Type2]])</f>
        <v>HSA</v>
      </c>
      <c r="D67" s="62" t="str" cm="1">
        <f t="array" ref="D67">_xlfn.XLOOKUP(Table4[[#This Row],[Account]],Table25[[#All],[Account]],Table25[[#All],[Owner]])</f>
        <v>Jackson</v>
      </c>
      <c r="E67" s="6" t="str">
        <f>IF(Table4[[#This Row],[Date Sold]]&lt;&gt;"","Closed","Open")</f>
        <v>Open</v>
      </c>
      <c r="F67" s="41" t="s">
        <v>264</v>
      </c>
      <c r="G67" s="63" t="str" cm="1">
        <f t="array" ref="G67">_xlfn.XLOOKUP(Table4[[#This Row],[Symbol]],Table36[[#All],[Symbol]],Table36[[#All],[Security Description]])</f>
        <v>NIKE INC CLASS B COMNPV</v>
      </c>
      <c r="H67" s="39">
        <v>41857</v>
      </c>
      <c r="I67" s="6">
        <v>1</v>
      </c>
      <c r="J67" s="37">
        <v>78.747500000000002</v>
      </c>
      <c r="K67" s="36"/>
      <c r="L67" s="6"/>
      <c r="M67" s="42"/>
      <c r="N67" s="37"/>
    </row>
    <row r="68" spans="2:14" ht="16" customHeight="1" x14ac:dyDescent="0.2">
      <c r="B68" s="7" t="s">
        <v>25</v>
      </c>
      <c r="C68" s="62" t="str" cm="1">
        <f t="array" ref="C68">_xlfn.XLOOKUP(Table4[[#This Row],[Account]],Table25[[#All],[Account]],Table25[[#All],[Account Type2]])</f>
        <v>HSA</v>
      </c>
      <c r="D68" s="62" t="str" cm="1">
        <f t="array" ref="D68">_xlfn.XLOOKUP(Table4[[#This Row],[Account]],Table25[[#All],[Account]],Table25[[#All],[Owner]])</f>
        <v>Jackson</v>
      </c>
      <c r="E68" s="6" t="str">
        <f>IF(Table4[[#This Row],[Date Sold]]&lt;&gt;"","Closed","Open")</f>
        <v>Open</v>
      </c>
      <c r="F68" s="41" t="s">
        <v>264</v>
      </c>
      <c r="G68" s="63" t="str" cm="1">
        <f t="array" ref="G68">_xlfn.XLOOKUP(Table4[[#This Row],[Symbol]],Table36[[#All],[Symbol]],Table36[[#All],[Security Description]])</f>
        <v>NIKE INC CLASS B COMNPV</v>
      </c>
      <c r="H68" s="39">
        <v>42354</v>
      </c>
      <c r="I68" s="6">
        <v>1</v>
      </c>
      <c r="J68" s="37">
        <v>130.19348837209299</v>
      </c>
      <c r="K68" s="36"/>
      <c r="L68" s="6"/>
      <c r="M68" s="42"/>
      <c r="N68" s="37"/>
    </row>
    <row r="69" spans="2:14" ht="16" customHeight="1" x14ac:dyDescent="0.2">
      <c r="B69" s="7" t="s">
        <v>25</v>
      </c>
      <c r="C69" s="62" t="str" cm="1">
        <f t="array" ref="C69">_xlfn.XLOOKUP(Table4[[#This Row],[Account]],Table25[[#All],[Account]],Table25[[#All],[Account Type2]])</f>
        <v>HSA</v>
      </c>
      <c r="D69" s="62" t="str" cm="1">
        <f t="array" ref="D69">_xlfn.XLOOKUP(Table4[[#This Row],[Account]],Table25[[#All],[Account]],Table25[[#All],[Owner]])</f>
        <v>Jackson</v>
      </c>
      <c r="E69" s="6" t="str">
        <f>IF(Table4[[#This Row],[Date Sold]]&lt;&gt;"","Closed","Open")</f>
        <v>Open</v>
      </c>
      <c r="F69" s="41" t="s">
        <v>264</v>
      </c>
      <c r="G69" s="63" t="str" cm="1">
        <f t="array" ref="G69">_xlfn.XLOOKUP(Table4[[#This Row],[Symbol]],Table36[[#All],[Symbol]],Table36[[#All],[Security Description]])</f>
        <v>NIKE INC CLASS B COMNPV</v>
      </c>
      <c r="H69" s="39">
        <v>42354</v>
      </c>
      <c r="I69" s="6">
        <v>1</v>
      </c>
      <c r="J69" s="37">
        <v>130.19348837209299</v>
      </c>
      <c r="K69" s="36"/>
      <c r="L69" s="6"/>
      <c r="M69" s="42"/>
      <c r="N69" s="37"/>
    </row>
    <row r="70" spans="2:14" ht="16" customHeight="1" x14ac:dyDescent="0.2">
      <c r="B70" s="7" t="s">
        <v>25</v>
      </c>
      <c r="C70" s="62" t="str" cm="1">
        <f t="array" ref="C70">_xlfn.XLOOKUP(Table4[[#This Row],[Account]],Table25[[#All],[Account]],Table25[[#All],[Account Type2]])</f>
        <v>HSA</v>
      </c>
      <c r="D70" s="62" t="str" cm="1">
        <f t="array" ref="D70">_xlfn.XLOOKUP(Table4[[#This Row],[Account]],Table25[[#All],[Account]],Table25[[#All],[Owner]])</f>
        <v>Jackson</v>
      </c>
      <c r="E70" s="6" t="str">
        <f>IF(Table4[[#This Row],[Date Sold]]&lt;&gt;"","Closed","Open")</f>
        <v>Open</v>
      </c>
      <c r="F70" s="41" t="s">
        <v>264</v>
      </c>
      <c r="G70" s="63" t="str" cm="1">
        <f t="array" ref="G70">_xlfn.XLOOKUP(Table4[[#This Row],[Symbol]],Table36[[#All],[Symbol]],Table36[[#All],[Security Description]])</f>
        <v>NIKE INC CLASS B COMNPV</v>
      </c>
      <c r="H70" s="39">
        <v>42363</v>
      </c>
      <c r="I70" s="6">
        <v>1</v>
      </c>
      <c r="J70" s="37">
        <v>132.74258064516121</v>
      </c>
      <c r="K70" s="36"/>
      <c r="L70" s="6"/>
      <c r="M70" s="42"/>
      <c r="N70" s="37"/>
    </row>
    <row r="71" spans="2:14" ht="16" customHeight="1" x14ac:dyDescent="0.2">
      <c r="B71" s="7" t="s">
        <v>25</v>
      </c>
      <c r="C71" s="62" t="str" cm="1">
        <f t="array" ref="C71">_xlfn.XLOOKUP(Table4[[#This Row],[Account]],Table25[[#All],[Account]],Table25[[#All],[Account Type2]])</f>
        <v>HSA</v>
      </c>
      <c r="D71" s="62" t="str" cm="1">
        <f t="array" ref="D71">_xlfn.XLOOKUP(Table4[[#This Row],[Account]],Table25[[#All],[Account]],Table25[[#All],[Owner]])</f>
        <v>Jackson</v>
      </c>
      <c r="E71" s="6" t="str">
        <f>IF(Table4[[#This Row],[Date Sold]]&lt;&gt;"","Closed","Open")</f>
        <v>Open</v>
      </c>
      <c r="F71" s="41" t="s">
        <v>264</v>
      </c>
      <c r="G71" s="63" t="str" cm="1">
        <f t="array" ref="G71">_xlfn.XLOOKUP(Table4[[#This Row],[Symbol]],Table36[[#All],[Symbol]],Table36[[#All],[Security Description]])</f>
        <v>NIKE INC CLASS B COMNPV</v>
      </c>
      <c r="H71" s="39">
        <v>42363</v>
      </c>
      <c r="I71" s="6">
        <v>1</v>
      </c>
      <c r="J71" s="37">
        <v>132.74258064516121</v>
      </c>
      <c r="K71" s="36"/>
      <c r="L71" s="6"/>
      <c r="M71" s="42"/>
      <c r="N71" s="37"/>
    </row>
    <row r="72" spans="2:14" ht="16" customHeight="1" x14ac:dyDescent="0.2">
      <c r="B72" s="7" t="s">
        <v>25</v>
      </c>
      <c r="C72" s="62" t="str" cm="1">
        <f t="array" ref="C72">_xlfn.XLOOKUP(Table4[[#This Row],[Account]],Table25[[#All],[Account]],Table25[[#All],[Account Type2]])</f>
        <v>HSA</v>
      </c>
      <c r="D72" s="62" t="str" cm="1">
        <f t="array" ref="D72">_xlfn.XLOOKUP(Table4[[#This Row],[Account]],Table25[[#All],[Account]],Table25[[#All],[Owner]])</f>
        <v>Jackson</v>
      </c>
      <c r="E72" s="6" t="str">
        <f>IF(Table4[[#This Row],[Date Sold]]&lt;&gt;"","Closed","Open")</f>
        <v>Open</v>
      </c>
      <c r="F72" s="41" t="s">
        <v>264</v>
      </c>
      <c r="G72" s="63" t="str" cm="1">
        <f t="array" ref="G72">_xlfn.XLOOKUP(Table4[[#This Row],[Symbol]],Table36[[#All],[Symbol]],Table36[[#All],[Security Description]])</f>
        <v>NIKE INC CLASS B COMNPV</v>
      </c>
      <c r="H72" s="39">
        <v>42669</v>
      </c>
      <c r="I72" s="6">
        <v>1</v>
      </c>
      <c r="J72" s="37">
        <v>61.22</v>
      </c>
      <c r="K72" s="36"/>
      <c r="L72" s="6"/>
      <c r="M72" s="42"/>
      <c r="N72" s="37"/>
    </row>
    <row r="73" spans="2:14" ht="16" customHeight="1" x14ac:dyDescent="0.2">
      <c r="B73" s="5" t="s">
        <v>23</v>
      </c>
      <c r="C73" s="62" t="str" cm="1">
        <f t="array" ref="C73">_xlfn.XLOOKUP(Table4[[#This Row],[Account]],Table25[[#All],[Account]],Table25[[#All],[Account Type2]])</f>
        <v>Roth IRA</v>
      </c>
      <c r="D73" s="62" t="str" cm="1">
        <f t="array" ref="D73">_xlfn.XLOOKUP(Table4[[#This Row],[Account]],Table25[[#All],[Account]],Table25[[#All],[Owner]])</f>
        <v>Shaun</v>
      </c>
      <c r="E73" s="6" t="str">
        <f>IF(Table4[[#This Row],[Date Sold]]&lt;&gt;"","Closed","Open")</f>
        <v>Open</v>
      </c>
      <c r="F73" s="41" t="s">
        <v>267</v>
      </c>
      <c r="G73" s="63" t="str" cm="1">
        <f t="array" ref="G73">_xlfn.XLOOKUP(Table4[[#This Row],[Symbol]],Table36[[#All],[Symbol]],Table36[[#All],[Security Description]])</f>
        <v>NVIDIA CORPORATION COM</v>
      </c>
      <c r="H73" s="39">
        <v>42768</v>
      </c>
      <c r="I73" s="6">
        <v>1</v>
      </c>
      <c r="J73" s="37">
        <v>116.02</v>
      </c>
      <c r="K73" s="36"/>
      <c r="L73" s="6"/>
      <c r="M73" s="42"/>
      <c r="N73" s="37"/>
    </row>
    <row r="74" spans="2:14" ht="16" customHeight="1" x14ac:dyDescent="0.2">
      <c r="B74" s="5" t="s">
        <v>23</v>
      </c>
      <c r="C74" s="62" t="str" cm="1">
        <f t="array" ref="C74">_xlfn.XLOOKUP(Table4[[#This Row],[Account]],Table25[[#All],[Account]],Table25[[#All],[Account Type2]])</f>
        <v>Roth IRA</v>
      </c>
      <c r="D74" s="62" t="str" cm="1">
        <f t="array" ref="D74">_xlfn.XLOOKUP(Table4[[#This Row],[Account]],Table25[[#All],[Account]],Table25[[#All],[Owner]])</f>
        <v>Shaun</v>
      </c>
      <c r="E74" s="6" t="str">
        <f>IF(Table4[[#This Row],[Date Sold]]&lt;&gt;"","Closed","Open")</f>
        <v>Open</v>
      </c>
      <c r="F74" s="41" t="s">
        <v>267</v>
      </c>
      <c r="G74" s="63" t="str" cm="1">
        <f t="array" ref="G74">_xlfn.XLOOKUP(Table4[[#This Row],[Symbol]],Table36[[#All],[Symbol]],Table36[[#All],[Security Description]])</f>
        <v>NVIDIA CORPORATION COM</v>
      </c>
      <c r="H74" s="39">
        <v>42768</v>
      </c>
      <c r="I74" s="6">
        <v>1</v>
      </c>
      <c r="J74" s="37">
        <v>116.02</v>
      </c>
      <c r="K74" s="36"/>
      <c r="L74" s="6"/>
      <c r="M74" s="42"/>
      <c r="N74" s="37"/>
    </row>
    <row r="75" spans="2:14" ht="16" customHeight="1" x14ac:dyDescent="0.2">
      <c r="B75" s="5" t="s">
        <v>23</v>
      </c>
      <c r="C75" s="62" t="str" cm="1">
        <f t="array" ref="C75">_xlfn.XLOOKUP(Table4[[#This Row],[Account]],Table25[[#All],[Account]],Table25[[#All],[Account Type2]])</f>
        <v>Roth IRA</v>
      </c>
      <c r="D75" s="62" t="str" cm="1">
        <f t="array" ref="D75">_xlfn.XLOOKUP(Table4[[#This Row],[Account]],Table25[[#All],[Account]],Table25[[#All],[Owner]])</f>
        <v>Shaun</v>
      </c>
      <c r="E75" s="6" t="str">
        <f>IF(Table4[[#This Row],[Date Sold]]&lt;&gt;"","Closed","Open")</f>
        <v>Open</v>
      </c>
      <c r="F75" s="41" t="s">
        <v>267</v>
      </c>
      <c r="G75" s="63" t="str" cm="1">
        <f t="array" ref="G75">_xlfn.XLOOKUP(Table4[[#This Row],[Symbol]],Table36[[#All],[Symbol]],Table36[[#All],[Security Description]])</f>
        <v>NVIDIA CORPORATION COM</v>
      </c>
      <c r="H75" s="39">
        <v>42768</v>
      </c>
      <c r="I75" s="6">
        <v>1</v>
      </c>
      <c r="J75" s="37">
        <v>116.02</v>
      </c>
      <c r="K75" s="36"/>
      <c r="L75" s="6"/>
      <c r="M75" s="42"/>
      <c r="N75" s="37"/>
    </row>
    <row r="76" spans="2:14" ht="16" customHeight="1" x14ac:dyDescent="0.2">
      <c r="B76" s="5" t="s">
        <v>23</v>
      </c>
      <c r="C76" s="62" t="str" cm="1">
        <f t="array" ref="C76">_xlfn.XLOOKUP(Table4[[#This Row],[Account]],Table25[[#All],[Account]],Table25[[#All],[Account Type2]])</f>
        <v>Roth IRA</v>
      </c>
      <c r="D76" s="62" t="str" cm="1">
        <f t="array" ref="D76">_xlfn.XLOOKUP(Table4[[#This Row],[Account]],Table25[[#All],[Account]],Table25[[#All],[Owner]])</f>
        <v>Shaun</v>
      </c>
      <c r="E76" s="6" t="str">
        <f>IF(Table4[[#This Row],[Date Sold]]&lt;&gt;"","Closed","Open")</f>
        <v>Open</v>
      </c>
      <c r="F76" s="41" t="s">
        <v>267</v>
      </c>
      <c r="G76" s="63" t="str" cm="1">
        <f t="array" ref="G76">_xlfn.XLOOKUP(Table4[[#This Row],[Symbol]],Table36[[#All],[Symbol]],Table36[[#All],[Security Description]])</f>
        <v>NVIDIA CORPORATION COM</v>
      </c>
      <c r="H76" s="39">
        <v>42768</v>
      </c>
      <c r="I76" s="6">
        <v>1</v>
      </c>
      <c r="J76" s="37">
        <v>116.02</v>
      </c>
      <c r="K76" s="36"/>
      <c r="L76" s="6"/>
      <c r="M76" s="42"/>
      <c r="N76" s="37"/>
    </row>
    <row r="77" spans="2:14" ht="16" customHeight="1" x14ac:dyDescent="0.2">
      <c r="B77" s="5" t="s">
        <v>23</v>
      </c>
      <c r="C77" s="62" t="str" cm="1">
        <f t="array" ref="C77">_xlfn.XLOOKUP(Table4[[#This Row],[Account]],Table25[[#All],[Account]],Table25[[#All],[Account Type2]])</f>
        <v>Roth IRA</v>
      </c>
      <c r="D77" s="62" t="str" cm="1">
        <f t="array" ref="D77">_xlfn.XLOOKUP(Table4[[#This Row],[Account]],Table25[[#All],[Account]],Table25[[#All],[Owner]])</f>
        <v>Shaun</v>
      </c>
      <c r="E77" s="6" t="str">
        <f>IF(Table4[[#This Row],[Date Sold]]&lt;&gt;"","Closed","Open")</f>
        <v>Open</v>
      </c>
      <c r="F77" s="41" t="s">
        <v>267</v>
      </c>
      <c r="G77" s="63" t="str" cm="1">
        <f t="array" ref="G77">_xlfn.XLOOKUP(Table4[[#This Row],[Symbol]],Table36[[#All],[Symbol]],Table36[[#All],[Security Description]])</f>
        <v>NVIDIA CORPORATION COM</v>
      </c>
      <c r="H77" s="39">
        <v>42768</v>
      </c>
      <c r="I77" s="6">
        <v>1</v>
      </c>
      <c r="J77" s="37">
        <v>116.02</v>
      </c>
      <c r="K77" s="36"/>
      <c r="L77" s="6"/>
      <c r="M77" s="42"/>
      <c r="N77" s="37"/>
    </row>
    <row r="78" spans="2:14" ht="16" customHeight="1" x14ac:dyDescent="0.2">
      <c r="B78" s="5" t="s">
        <v>23</v>
      </c>
      <c r="C78" s="62" t="str" cm="1">
        <f t="array" ref="C78">_xlfn.XLOOKUP(Table4[[#This Row],[Account]],Table25[[#All],[Account]],Table25[[#All],[Account Type2]])</f>
        <v>Roth IRA</v>
      </c>
      <c r="D78" s="62" t="str" cm="1">
        <f t="array" ref="D78">_xlfn.XLOOKUP(Table4[[#This Row],[Account]],Table25[[#All],[Account]],Table25[[#All],[Owner]])</f>
        <v>Shaun</v>
      </c>
      <c r="E78" s="6" t="str">
        <f>IF(Table4[[#This Row],[Date Sold]]&lt;&gt;"","Closed","Open")</f>
        <v>Open</v>
      </c>
      <c r="F78" s="41" t="s">
        <v>267</v>
      </c>
      <c r="G78" s="63" t="str" cm="1">
        <f t="array" ref="G78">_xlfn.XLOOKUP(Table4[[#This Row],[Symbol]],Table36[[#All],[Symbol]],Table36[[#All],[Security Description]])</f>
        <v>NVIDIA CORPORATION COM</v>
      </c>
      <c r="H78" s="39">
        <v>42768</v>
      </c>
      <c r="I78" s="6">
        <v>1</v>
      </c>
      <c r="J78" s="37">
        <v>116.02</v>
      </c>
      <c r="K78" s="36"/>
      <c r="L78" s="6"/>
      <c r="M78" s="42"/>
      <c r="N78" s="37"/>
    </row>
    <row r="79" spans="2:14" ht="16" customHeight="1" x14ac:dyDescent="0.2">
      <c r="B79" s="5" t="s">
        <v>23</v>
      </c>
      <c r="C79" s="62" t="str" cm="1">
        <f t="array" ref="C79">_xlfn.XLOOKUP(Table4[[#This Row],[Account]],Table25[[#All],[Account]],Table25[[#All],[Account Type2]])</f>
        <v>Roth IRA</v>
      </c>
      <c r="D79" s="62" t="str" cm="1">
        <f t="array" ref="D79">_xlfn.XLOOKUP(Table4[[#This Row],[Account]],Table25[[#All],[Account]],Table25[[#All],[Owner]])</f>
        <v>Shaun</v>
      </c>
      <c r="E79" s="6" t="str">
        <f>IF(Table4[[#This Row],[Date Sold]]&lt;&gt;"","Closed","Open")</f>
        <v>Open</v>
      </c>
      <c r="F79" s="41" t="s">
        <v>267</v>
      </c>
      <c r="G79" s="63" t="str" cm="1">
        <f t="array" ref="G79">_xlfn.XLOOKUP(Table4[[#This Row],[Symbol]],Table36[[#All],[Symbol]],Table36[[#All],[Security Description]])</f>
        <v>NVIDIA CORPORATION COM</v>
      </c>
      <c r="H79" s="39">
        <v>42768</v>
      </c>
      <c r="I79" s="6">
        <v>1</v>
      </c>
      <c r="J79" s="37">
        <v>116.02</v>
      </c>
      <c r="K79" s="36"/>
      <c r="L79" s="6"/>
      <c r="M79" s="42"/>
      <c r="N79" s="37"/>
    </row>
    <row r="80" spans="2:14" ht="16" customHeight="1" x14ac:dyDescent="0.2">
      <c r="B80" s="5" t="s">
        <v>23</v>
      </c>
      <c r="C80" s="62" t="str" cm="1">
        <f t="array" ref="C80">_xlfn.XLOOKUP(Table4[[#This Row],[Account]],Table25[[#All],[Account]],Table25[[#All],[Account Type2]])</f>
        <v>Roth IRA</v>
      </c>
      <c r="D80" s="62" t="str" cm="1">
        <f t="array" ref="D80">_xlfn.XLOOKUP(Table4[[#This Row],[Account]],Table25[[#All],[Account]],Table25[[#All],[Owner]])</f>
        <v>Shaun</v>
      </c>
      <c r="E80" s="6" t="str">
        <f>IF(Table4[[#This Row],[Date Sold]]&lt;&gt;"","Closed","Open")</f>
        <v>Open</v>
      </c>
      <c r="F80" s="41" t="s">
        <v>267</v>
      </c>
      <c r="G80" s="63" t="str" cm="1">
        <f t="array" ref="G80">_xlfn.XLOOKUP(Table4[[#This Row],[Symbol]],Table36[[#All],[Symbol]],Table36[[#All],[Security Description]])</f>
        <v>NVIDIA CORPORATION COM</v>
      </c>
      <c r="H80" s="39">
        <v>42768</v>
      </c>
      <c r="I80" s="6">
        <v>1</v>
      </c>
      <c r="J80" s="37">
        <v>116.02</v>
      </c>
      <c r="K80" s="36"/>
      <c r="L80" s="6"/>
      <c r="M80" s="42"/>
      <c r="N80" s="37"/>
    </row>
    <row r="81" spans="2:14" ht="16" customHeight="1" x14ac:dyDescent="0.2">
      <c r="B81" s="5" t="s">
        <v>23</v>
      </c>
      <c r="C81" s="62" t="str" cm="1">
        <f t="array" ref="C81">_xlfn.XLOOKUP(Table4[[#This Row],[Account]],Table25[[#All],[Account]],Table25[[#All],[Account Type2]])</f>
        <v>Roth IRA</v>
      </c>
      <c r="D81" s="62" t="str" cm="1">
        <f t="array" ref="D81">_xlfn.XLOOKUP(Table4[[#This Row],[Account]],Table25[[#All],[Account]],Table25[[#All],[Owner]])</f>
        <v>Shaun</v>
      </c>
      <c r="E81" s="6" t="str">
        <f>IF(Table4[[#This Row],[Date Sold]]&lt;&gt;"","Closed","Open")</f>
        <v>Open</v>
      </c>
      <c r="F81" s="41" t="s">
        <v>267</v>
      </c>
      <c r="G81" s="63" t="str" cm="1">
        <f t="array" ref="G81">_xlfn.XLOOKUP(Table4[[#This Row],[Symbol]],Table36[[#All],[Symbol]],Table36[[#All],[Security Description]])</f>
        <v>NVIDIA CORPORATION COM</v>
      </c>
      <c r="H81" s="39">
        <v>42768</v>
      </c>
      <c r="I81" s="6">
        <v>1</v>
      </c>
      <c r="J81" s="37">
        <v>116.02</v>
      </c>
      <c r="K81" s="36"/>
      <c r="L81" s="6"/>
      <c r="M81" s="42"/>
      <c r="N81" s="37"/>
    </row>
    <row r="82" spans="2:14" ht="16" customHeight="1" x14ac:dyDescent="0.2">
      <c r="B82" s="5" t="s">
        <v>23</v>
      </c>
      <c r="C82" s="62" t="str" cm="1">
        <f t="array" ref="C82">_xlfn.XLOOKUP(Table4[[#This Row],[Account]],Table25[[#All],[Account]],Table25[[#All],[Account Type2]])</f>
        <v>Roth IRA</v>
      </c>
      <c r="D82" s="62" t="str" cm="1">
        <f t="array" ref="D82">_xlfn.XLOOKUP(Table4[[#This Row],[Account]],Table25[[#All],[Account]],Table25[[#All],[Owner]])</f>
        <v>Shaun</v>
      </c>
      <c r="E82" s="6" t="str">
        <f>IF(Table4[[#This Row],[Date Sold]]&lt;&gt;"","Closed","Open")</f>
        <v>Open</v>
      </c>
      <c r="F82" s="41" t="s">
        <v>267</v>
      </c>
      <c r="G82" s="63" t="str" cm="1">
        <f t="array" ref="G82">_xlfn.XLOOKUP(Table4[[#This Row],[Symbol]],Table36[[#All],[Symbol]],Table36[[#All],[Security Description]])</f>
        <v>NVIDIA CORPORATION COM</v>
      </c>
      <c r="H82" s="39">
        <v>43108</v>
      </c>
      <c r="I82" s="6">
        <v>1</v>
      </c>
      <c r="J82" s="37">
        <v>887.63199999999995</v>
      </c>
      <c r="K82" s="36"/>
      <c r="L82" s="6"/>
      <c r="M82" s="42"/>
      <c r="N82" s="37"/>
    </row>
    <row r="83" spans="2:14" ht="16" customHeight="1" x14ac:dyDescent="0.2">
      <c r="B83" s="5" t="s">
        <v>23</v>
      </c>
      <c r="C83" s="62" t="str" cm="1">
        <f t="array" ref="C83">_xlfn.XLOOKUP(Table4[[#This Row],[Account]],Table25[[#All],[Account]],Table25[[#All],[Account Type2]])</f>
        <v>Roth IRA</v>
      </c>
      <c r="D83" s="62" t="str" cm="1">
        <f t="array" ref="D83">_xlfn.XLOOKUP(Table4[[#This Row],[Account]],Table25[[#All],[Account]],Table25[[#All],[Owner]])</f>
        <v>Shaun</v>
      </c>
      <c r="E83" s="6" t="str">
        <f>IF(Table4[[#This Row],[Date Sold]]&lt;&gt;"","Closed","Open")</f>
        <v>Open</v>
      </c>
      <c r="F83" s="41" t="s">
        <v>267</v>
      </c>
      <c r="G83" s="63" t="str" cm="1">
        <f t="array" ref="G83">_xlfn.XLOOKUP(Table4[[#This Row],[Symbol]],Table36[[#All],[Symbol]],Table36[[#All],[Security Description]])</f>
        <v>NVIDIA CORPORATION COM</v>
      </c>
      <c r="H83" s="39">
        <v>43108</v>
      </c>
      <c r="I83" s="6">
        <v>1</v>
      </c>
      <c r="J83" s="37">
        <v>221.91</v>
      </c>
      <c r="K83" s="36"/>
      <c r="L83" s="6"/>
      <c r="M83" s="42"/>
      <c r="N83" s="37"/>
    </row>
    <row r="84" spans="2:14" ht="16" customHeight="1" x14ac:dyDescent="0.2">
      <c r="B84" s="5" t="s">
        <v>23</v>
      </c>
      <c r="C84" s="62" t="str" cm="1">
        <f t="array" ref="C84">_xlfn.XLOOKUP(Table4[[#This Row],[Account]],Table25[[#All],[Account]],Table25[[#All],[Account Type2]])</f>
        <v>Roth IRA</v>
      </c>
      <c r="D84" s="62" t="str" cm="1">
        <f t="array" ref="D84">_xlfn.XLOOKUP(Table4[[#This Row],[Account]],Table25[[#All],[Account]],Table25[[#All],[Owner]])</f>
        <v>Shaun</v>
      </c>
      <c r="E84" s="6" t="str">
        <f>IF(Table4[[#This Row],[Date Sold]]&lt;&gt;"","Closed","Open")</f>
        <v>Open</v>
      </c>
      <c r="F84" s="41" t="s">
        <v>267</v>
      </c>
      <c r="G84" s="63" t="str" cm="1">
        <f t="array" ref="G84">_xlfn.XLOOKUP(Table4[[#This Row],[Symbol]],Table36[[#All],[Symbol]],Table36[[#All],[Security Description]])</f>
        <v>NVIDIA CORPORATION COM</v>
      </c>
      <c r="H84" s="39">
        <v>43108</v>
      </c>
      <c r="I84" s="6">
        <v>1</v>
      </c>
      <c r="J84" s="37">
        <v>221.91</v>
      </c>
      <c r="K84" s="36"/>
      <c r="L84" s="6"/>
      <c r="M84" s="42"/>
      <c r="N84" s="37"/>
    </row>
    <row r="85" spans="2:14" ht="16" customHeight="1" x14ac:dyDescent="0.2">
      <c r="B85" s="5" t="s">
        <v>23</v>
      </c>
      <c r="C85" s="62" t="str" cm="1">
        <f t="array" ref="C85">_xlfn.XLOOKUP(Table4[[#This Row],[Account]],Table25[[#All],[Account]],Table25[[#All],[Account Type2]])</f>
        <v>Roth IRA</v>
      </c>
      <c r="D85" s="62" t="str" cm="1">
        <f t="array" ref="D85">_xlfn.XLOOKUP(Table4[[#This Row],[Account]],Table25[[#All],[Account]],Table25[[#All],[Owner]])</f>
        <v>Shaun</v>
      </c>
      <c r="E85" s="6" t="str">
        <f>IF(Table4[[#This Row],[Date Sold]]&lt;&gt;"","Closed","Open")</f>
        <v>Open</v>
      </c>
      <c r="F85" s="41" t="s">
        <v>267</v>
      </c>
      <c r="G85" s="63" t="str" cm="1">
        <f t="array" ref="G85">_xlfn.XLOOKUP(Table4[[#This Row],[Symbol]],Table36[[#All],[Symbol]],Table36[[#All],[Security Description]])</f>
        <v>NVIDIA CORPORATION COM</v>
      </c>
      <c r="H85" s="39">
        <v>43108</v>
      </c>
      <c r="I85" s="6">
        <v>1</v>
      </c>
      <c r="J85" s="37">
        <v>221.91</v>
      </c>
      <c r="K85" s="36"/>
      <c r="L85" s="6"/>
      <c r="M85" s="42"/>
      <c r="N85" s="37"/>
    </row>
    <row r="86" spans="2:14" ht="16" customHeight="1" x14ac:dyDescent="0.2">
      <c r="B86" s="5" t="s">
        <v>23</v>
      </c>
      <c r="C86" s="62" t="str" cm="1">
        <f t="array" ref="C86">_xlfn.XLOOKUP(Table4[[#This Row],[Account]],Table25[[#All],[Account]],Table25[[#All],[Account Type2]])</f>
        <v>Roth IRA</v>
      </c>
      <c r="D86" s="62" t="str" cm="1">
        <f t="array" ref="D86">_xlfn.XLOOKUP(Table4[[#This Row],[Account]],Table25[[#All],[Account]],Table25[[#All],[Owner]])</f>
        <v>Shaun</v>
      </c>
      <c r="E86" s="6" t="str">
        <f>IF(Table4[[#This Row],[Date Sold]]&lt;&gt;"","Closed","Open")</f>
        <v>Open</v>
      </c>
      <c r="F86" s="41" t="s">
        <v>267</v>
      </c>
      <c r="G86" s="63" t="str" cm="1">
        <f t="array" ref="G86">_xlfn.XLOOKUP(Table4[[#This Row],[Symbol]],Table36[[#All],[Symbol]],Table36[[#All],[Security Description]])</f>
        <v>NVIDIA CORPORATION COM</v>
      </c>
      <c r="H86" s="39">
        <v>43108</v>
      </c>
      <c r="I86" s="6">
        <v>1</v>
      </c>
      <c r="J86" s="37">
        <v>221.91</v>
      </c>
      <c r="K86" s="36"/>
      <c r="L86" s="6"/>
      <c r="M86" s="42"/>
      <c r="N86" s="37"/>
    </row>
    <row r="87" spans="2:14" ht="16" customHeight="1" x14ac:dyDescent="0.2">
      <c r="B87" s="5" t="s">
        <v>23</v>
      </c>
      <c r="C87" s="62" t="str" cm="1">
        <f t="array" ref="C87">_xlfn.XLOOKUP(Table4[[#This Row],[Account]],Table25[[#All],[Account]],Table25[[#All],[Account Type2]])</f>
        <v>Roth IRA</v>
      </c>
      <c r="D87" s="62" t="str" cm="1">
        <f t="array" ref="D87">_xlfn.XLOOKUP(Table4[[#This Row],[Account]],Table25[[#All],[Account]],Table25[[#All],[Owner]])</f>
        <v>Shaun</v>
      </c>
      <c r="E87" s="6" t="str">
        <f>IF(Table4[[#This Row],[Date Sold]]&lt;&gt;"","Closed","Open")</f>
        <v>Open</v>
      </c>
      <c r="F87" s="41" t="s">
        <v>267</v>
      </c>
      <c r="G87" s="63" t="str" cm="1">
        <f t="array" ref="G87">_xlfn.XLOOKUP(Table4[[#This Row],[Symbol]],Table36[[#All],[Symbol]],Table36[[#All],[Security Description]])</f>
        <v>NVIDIA CORPORATION COM</v>
      </c>
      <c r="H87" s="39">
        <v>43108</v>
      </c>
      <c r="I87" s="6">
        <v>1</v>
      </c>
      <c r="J87" s="37">
        <v>221.91</v>
      </c>
      <c r="K87" s="36"/>
      <c r="L87" s="6"/>
      <c r="M87" s="42"/>
      <c r="N87" s="37"/>
    </row>
    <row r="88" spans="2:14" ht="16" customHeight="1" x14ac:dyDescent="0.2">
      <c r="B88" s="5" t="s">
        <v>23</v>
      </c>
      <c r="C88" s="62" t="str" cm="1">
        <f t="array" ref="C88">_xlfn.XLOOKUP(Table4[[#This Row],[Account]],Table25[[#All],[Account]],Table25[[#All],[Account Type2]])</f>
        <v>Roth IRA</v>
      </c>
      <c r="D88" s="62" t="str" cm="1">
        <f t="array" ref="D88">_xlfn.XLOOKUP(Table4[[#This Row],[Account]],Table25[[#All],[Account]],Table25[[#All],[Owner]])</f>
        <v>Shaun</v>
      </c>
      <c r="E88" s="6" t="str">
        <f>IF(Table4[[#This Row],[Date Sold]]&lt;&gt;"","Closed","Open")</f>
        <v>Open</v>
      </c>
      <c r="F88" s="41" t="s">
        <v>267</v>
      </c>
      <c r="G88" s="63" t="str" cm="1">
        <f t="array" ref="G88">_xlfn.XLOOKUP(Table4[[#This Row],[Symbol]],Table36[[#All],[Symbol]],Table36[[#All],[Security Description]])</f>
        <v>NVIDIA CORPORATION COM</v>
      </c>
      <c r="H88" s="39">
        <v>43108</v>
      </c>
      <c r="I88" s="6">
        <v>1</v>
      </c>
      <c r="J88" s="37">
        <v>221.91</v>
      </c>
      <c r="K88" s="36"/>
      <c r="L88" s="6"/>
      <c r="M88" s="42"/>
      <c r="N88" s="37"/>
    </row>
    <row r="89" spans="2:14" ht="16" customHeight="1" x14ac:dyDescent="0.2">
      <c r="B89" s="5" t="s">
        <v>23</v>
      </c>
      <c r="C89" s="62" t="str" cm="1">
        <f t="array" ref="C89">_xlfn.XLOOKUP(Table4[[#This Row],[Account]],Table25[[#All],[Account]],Table25[[#All],[Account Type2]])</f>
        <v>Roth IRA</v>
      </c>
      <c r="D89" s="62" t="str" cm="1">
        <f t="array" ref="D89">_xlfn.XLOOKUP(Table4[[#This Row],[Account]],Table25[[#All],[Account]],Table25[[#All],[Owner]])</f>
        <v>Shaun</v>
      </c>
      <c r="E89" s="6" t="str">
        <f>IF(Table4[[#This Row],[Date Sold]]&lt;&gt;"","Closed","Open")</f>
        <v>Open</v>
      </c>
      <c r="F89" s="41" t="s">
        <v>267</v>
      </c>
      <c r="G89" s="63" t="str" cm="1">
        <f t="array" ref="G89">_xlfn.XLOOKUP(Table4[[#This Row],[Symbol]],Table36[[#All],[Symbol]],Table36[[#All],[Security Description]])</f>
        <v>NVIDIA CORPORATION COM</v>
      </c>
      <c r="H89" s="39">
        <v>43108</v>
      </c>
      <c r="I89" s="6">
        <v>1</v>
      </c>
      <c r="J89" s="37">
        <v>221.91</v>
      </c>
      <c r="K89" s="36"/>
      <c r="L89" s="6"/>
      <c r="M89" s="42"/>
      <c r="N89" s="37"/>
    </row>
    <row r="90" spans="2:14" ht="16" customHeight="1" x14ac:dyDescent="0.2">
      <c r="B90" s="5" t="s">
        <v>23</v>
      </c>
      <c r="C90" s="62" t="str" cm="1">
        <f t="array" ref="C90">_xlfn.XLOOKUP(Table4[[#This Row],[Account]],Table25[[#All],[Account]],Table25[[#All],[Account Type2]])</f>
        <v>Roth IRA</v>
      </c>
      <c r="D90" s="62" t="str" cm="1">
        <f t="array" ref="D90">_xlfn.XLOOKUP(Table4[[#This Row],[Account]],Table25[[#All],[Account]],Table25[[#All],[Owner]])</f>
        <v>Shaun</v>
      </c>
      <c r="E90" s="6" t="str">
        <f>IF(Table4[[#This Row],[Date Sold]]&lt;&gt;"","Closed","Open")</f>
        <v>Open</v>
      </c>
      <c r="F90" s="41" t="s">
        <v>267</v>
      </c>
      <c r="G90" s="63" t="str" cm="1">
        <f t="array" ref="G90">_xlfn.XLOOKUP(Table4[[#This Row],[Symbol]],Table36[[#All],[Symbol]],Table36[[#All],[Security Description]])</f>
        <v>NVIDIA CORPORATION COM</v>
      </c>
      <c r="H90" s="39">
        <v>43108</v>
      </c>
      <c r="I90" s="6">
        <v>1</v>
      </c>
      <c r="J90" s="37">
        <v>221.91</v>
      </c>
      <c r="K90" s="36"/>
      <c r="L90" s="6"/>
      <c r="M90" s="42"/>
      <c r="N90" s="37"/>
    </row>
    <row r="91" spans="2:14" ht="16" customHeight="1" x14ac:dyDescent="0.2">
      <c r="B91" s="5" t="s">
        <v>23</v>
      </c>
      <c r="C91" s="64" t="str" cm="1">
        <f t="array" ref="C91">_xlfn.XLOOKUP(Table4[[#This Row],[Account]],Table25[[#All],[Account]],Table25[[#All],[Account Type2]])</f>
        <v>Roth IRA</v>
      </c>
      <c r="D91" s="64" t="str" cm="1">
        <f t="array" ref="D91">_xlfn.XLOOKUP(Table4[[#This Row],[Account]],Table25[[#All],[Account]],Table25[[#All],[Owner]])</f>
        <v>Shaun</v>
      </c>
      <c r="E91" s="65" t="str">
        <f>IF(Table4[[#This Row],[Date Sold]]&lt;&gt;"","Closed","Open")</f>
        <v>Open</v>
      </c>
      <c r="F91" s="66" t="s">
        <v>267</v>
      </c>
      <c r="G91" s="67" t="str" cm="1">
        <f t="array" ref="G91">_xlfn.XLOOKUP(Table4[[#This Row],[Symbol]],Table36[[#All],[Symbol]],Table36[[#All],[Security Description]])</f>
        <v>NVIDIA CORPORATION COM</v>
      </c>
      <c r="H91" s="40">
        <v>43108</v>
      </c>
      <c r="I91" s="6">
        <v>1</v>
      </c>
      <c r="J91" s="68">
        <v>221.91</v>
      </c>
      <c r="K91" s="69"/>
      <c r="L91" s="65"/>
      <c r="M91" s="70"/>
      <c r="N91" s="68"/>
    </row>
    <row r="92" spans="2:14" ht="16" customHeight="1" x14ac:dyDescent="0.2">
      <c r="B92" s="5" t="s">
        <v>23</v>
      </c>
      <c r="C92" s="62" t="str" cm="1">
        <f t="array" ref="C92">_xlfn.XLOOKUP(Table4[[#This Row],[Account]],Table25[[#All],[Account]],Table25[[#All],[Account Type2]])</f>
        <v>Roth IRA</v>
      </c>
      <c r="D92" s="62" t="str" cm="1">
        <f t="array" ref="D92">_xlfn.XLOOKUP(Table4[[#This Row],[Account]],Table25[[#All],[Account]],Table25[[#All],[Owner]])</f>
        <v>Shaun</v>
      </c>
      <c r="E92" s="6" t="str">
        <f>IF(Table4[[#This Row],[Date Sold]]&lt;&gt;"","Closed","Open")</f>
        <v>Open</v>
      </c>
      <c r="F92" s="41" t="s">
        <v>267</v>
      </c>
      <c r="G92" s="63" t="str" cm="1">
        <f t="array" ref="G92">_xlfn.XLOOKUP(Table4[[#This Row],[Symbol]],Table36[[#All],[Symbol]],Table36[[#All],[Security Description]])</f>
        <v>NVIDIA CORPORATION COM</v>
      </c>
      <c r="H92" s="39">
        <v>44657</v>
      </c>
      <c r="I92" s="6">
        <v>1</v>
      </c>
      <c r="J92" s="37">
        <v>244.14999999999998</v>
      </c>
      <c r="K92" s="36"/>
      <c r="L92" s="6"/>
      <c r="M92" s="42"/>
      <c r="N92" s="37"/>
    </row>
    <row r="93" spans="2:14" ht="16" customHeight="1" x14ac:dyDescent="0.2">
      <c r="B93" s="5" t="s">
        <v>23</v>
      </c>
      <c r="C93" s="62" t="str" cm="1">
        <f t="array" ref="C93">_xlfn.XLOOKUP(Table4[[#This Row],[Account]],Table25[[#All],[Account]],Table25[[#All],[Account Type2]])</f>
        <v>Roth IRA</v>
      </c>
      <c r="D93" s="62" t="str" cm="1">
        <f t="array" ref="D93">_xlfn.XLOOKUP(Table4[[#This Row],[Account]],Table25[[#All],[Account]],Table25[[#All],[Owner]])</f>
        <v>Shaun</v>
      </c>
      <c r="E93" s="6" t="str">
        <f>IF(Table4[[#This Row],[Date Sold]]&lt;&gt;"","Closed","Open")</f>
        <v>Open</v>
      </c>
      <c r="F93" s="41" t="s">
        <v>267</v>
      </c>
      <c r="G93" s="63" t="str" cm="1">
        <f t="array" ref="G93">_xlfn.XLOOKUP(Table4[[#This Row],[Symbol]],Table36[[#All],[Symbol]],Table36[[#All],[Security Description]])</f>
        <v>NVIDIA CORPORATION COM</v>
      </c>
      <c r="H93" s="39">
        <v>44657</v>
      </c>
      <c r="I93" s="6">
        <v>1</v>
      </c>
      <c r="J93" s="37">
        <v>244.14999999999998</v>
      </c>
      <c r="K93" s="36"/>
      <c r="L93" s="6"/>
      <c r="M93" s="42"/>
      <c r="N93" s="37"/>
    </row>
    <row r="94" spans="2:14" ht="16" customHeight="1" x14ac:dyDescent="0.2">
      <c r="B94" s="5" t="s">
        <v>23</v>
      </c>
      <c r="C94" s="62" t="str" cm="1">
        <f t="array" ref="C94">_xlfn.XLOOKUP(Table4[[#This Row],[Account]],Table25[[#All],[Account]],Table25[[#All],[Account Type2]])</f>
        <v>Roth IRA</v>
      </c>
      <c r="D94" s="62" t="str" cm="1">
        <f t="array" ref="D94">_xlfn.XLOOKUP(Table4[[#This Row],[Account]],Table25[[#All],[Account]],Table25[[#All],[Owner]])</f>
        <v>Shaun</v>
      </c>
      <c r="E94" s="6" t="str">
        <f>IF(Table4[[#This Row],[Date Sold]]&lt;&gt;"","Closed","Open")</f>
        <v>Open</v>
      </c>
      <c r="F94" s="41" t="s">
        <v>267</v>
      </c>
      <c r="G94" s="63" t="str" cm="1">
        <f t="array" ref="G94">_xlfn.XLOOKUP(Table4[[#This Row],[Symbol]],Table36[[#All],[Symbol]],Table36[[#All],[Security Description]])</f>
        <v>NVIDIA CORPORATION COM</v>
      </c>
      <c r="H94" s="39">
        <v>45019</v>
      </c>
      <c r="I94" s="6">
        <v>1</v>
      </c>
      <c r="J94" s="37">
        <v>277.06</v>
      </c>
      <c r="K94" s="36"/>
      <c r="L94" s="6"/>
      <c r="M94" s="42"/>
      <c r="N94" s="37"/>
    </row>
    <row r="95" spans="2:14" ht="16" customHeight="1" x14ac:dyDescent="0.2">
      <c r="B95" s="5" t="s">
        <v>23</v>
      </c>
      <c r="C95" s="62" t="str" cm="1">
        <f t="array" ref="C95">_xlfn.XLOOKUP(Table4[[#This Row],[Account]],Table25[[#All],[Account]],Table25[[#All],[Account Type2]])</f>
        <v>Roth IRA</v>
      </c>
      <c r="D95" s="62" t="str" cm="1">
        <f t="array" ref="D95">_xlfn.XLOOKUP(Table4[[#This Row],[Account]],Table25[[#All],[Account]],Table25[[#All],[Owner]])</f>
        <v>Shaun</v>
      </c>
      <c r="E95" s="6" t="str">
        <f>IF(Table4[[#This Row],[Date Sold]]&lt;&gt;"","Closed","Open")</f>
        <v>Open</v>
      </c>
      <c r="F95" s="41" t="s">
        <v>267</v>
      </c>
      <c r="G95" s="63" t="str" cm="1">
        <f t="array" ref="G95">_xlfn.XLOOKUP(Table4[[#This Row],[Symbol]],Table36[[#All],[Symbol]],Table36[[#All],[Security Description]])</f>
        <v>NVIDIA CORPORATION COM</v>
      </c>
      <c r="H95" s="39">
        <v>45047</v>
      </c>
      <c r="I95" s="6">
        <v>1</v>
      </c>
      <c r="J95" s="37">
        <v>281.19499999999999</v>
      </c>
      <c r="K95" s="36"/>
      <c r="L95" s="6"/>
      <c r="M95" s="42"/>
      <c r="N95" s="37"/>
    </row>
    <row r="96" spans="2:14" ht="16" customHeight="1" x14ac:dyDescent="0.2">
      <c r="B96" s="5" t="s">
        <v>23</v>
      </c>
      <c r="C96" s="64" t="str" cm="1">
        <f t="array" ref="C96">_xlfn.XLOOKUP(Table4[[#This Row],[Account]],Table25[[#All],[Account]],Table25[[#All],[Account Type2]])</f>
        <v>Roth IRA</v>
      </c>
      <c r="D96" s="64" t="str" cm="1">
        <f t="array" ref="D96">_xlfn.XLOOKUP(Table4[[#This Row],[Account]],Table25[[#All],[Account]],Table25[[#All],[Owner]])</f>
        <v>Shaun</v>
      </c>
      <c r="E96" s="65" t="str">
        <f>IF(Table4[[#This Row],[Date Sold]]&lt;&gt;"","Closed","Open")</f>
        <v>Open</v>
      </c>
      <c r="F96" s="66" t="s">
        <v>267</v>
      </c>
      <c r="G96" s="67" t="str" cm="1">
        <f t="array" ref="G96">_xlfn.XLOOKUP(Table4[[#This Row],[Symbol]],Table36[[#All],[Symbol]],Table36[[#All],[Security Description]])</f>
        <v>NVIDIA CORPORATION COM</v>
      </c>
      <c r="H96" s="40">
        <v>45103</v>
      </c>
      <c r="I96" s="6">
        <v>1</v>
      </c>
      <c r="J96" s="68">
        <v>404.80799999999999</v>
      </c>
      <c r="K96" s="69"/>
      <c r="L96" s="65"/>
      <c r="M96" s="70"/>
      <c r="N96" s="68"/>
    </row>
    <row r="97" spans="2:14" ht="16" customHeight="1" x14ac:dyDescent="0.2">
      <c r="B97" s="5" t="s">
        <v>23</v>
      </c>
      <c r="C97" s="62" t="str" cm="1">
        <f t="array" ref="C97">_xlfn.XLOOKUP(Table4[[#This Row],[Account]],Table25[[#All],[Account]],Table25[[#All],[Account Type2]])</f>
        <v>Roth IRA</v>
      </c>
      <c r="D97" s="62" t="str" cm="1">
        <f t="array" ref="D97">_xlfn.XLOOKUP(Table4[[#This Row],[Account]],Table25[[#All],[Account]],Table25[[#All],[Owner]])</f>
        <v>Shaun</v>
      </c>
      <c r="E97" s="6" t="str">
        <f>IF(Table4[[#This Row],[Date Sold]]&lt;&gt;"","Closed","Open")</f>
        <v>Open</v>
      </c>
      <c r="F97" s="41" t="s">
        <v>267</v>
      </c>
      <c r="G97" s="63" t="str" cm="1">
        <f t="array" ref="G97">_xlfn.XLOOKUP(Table4[[#This Row],[Symbol]],Table36[[#All],[Symbol]],Table36[[#All],[Security Description]])</f>
        <v>NVIDIA CORPORATION COM</v>
      </c>
      <c r="H97" s="39">
        <v>45684</v>
      </c>
      <c r="I97" s="6">
        <v>1</v>
      </c>
      <c r="J97" s="37">
        <v>120.925</v>
      </c>
      <c r="K97" s="36"/>
      <c r="L97" s="6"/>
      <c r="M97" s="42"/>
      <c r="N97" s="37"/>
    </row>
    <row r="98" spans="2:14" ht="16" customHeight="1" x14ac:dyDescent="0.2">
      <c r="B98" s="5" t="s">
        <v>23</v>
      </c>
      <c r="C98" s="62" t="str" cm="1">
        <f t="array" ref="C98">_xlfn.XLOOKUP(Table4[[#This Row],[Account]],Table25[[#All],[Account]],Table25[[#All],[Account Type2]])</f>
        <v>Roth IRA</v>
      </c>
      <c r="D98" s="62" t="str" cm="1">
        <f t="array" ref="D98">_xlfn.XLOOKUP(Table4[[#This Row],[Account]],Table25[[#All],[Account]],Table25[[#All],[Owner]])</f>
        <v>Shaun</v>
      </c>
      <c r="E98" s="6" t="str">
        <f>IF(Table4[[#This Row],[Date Sold]]&lt;&gt;"","Closed","Open")</f>
        <v>Open</v>
      </c>
      <c r="F98" s="41" t="s">
        <v>267</v>
      </c>
      <c r="G98" s="63" t="str" cm="1">
        <f t="array" ref="G98">_xlfn.XLOOKUP(Table4[[#This Row],[Symbol]],Table36[[#All],[Symbol]],Table36[[#All],[Security Description]])</f>
        <v>NVIDIA CORPORATION COM</v>
      </c>
      <c r="H98" s="39">
        <v>45691</v>
      </c>
      <c r="I98" s="6">
        <v>1</v>
      </c>
      <c r="J98" s="37">
        <v>117.77</v>
      </c>
      <c r="K98" s="36"/>
      <c r="L98" s="6"/>
      <c r="M98" s="42"/>
      <c r="N98" s="37"/>
    </row>
    <row r="99" spans="2:14" ht="16" customHeight="1" x14ac:dyDescent="0.2">
      <c r="B99" s="5" t="s">
        <v>23</v>
      </c>
      <c r="C99" s="64" t="str" cm="1">
        <f t="array" ref="C99">_xlfn.XLOOKUP(Table4[[#This Row],[Account]],Table25[[#All],[Account]],Table25[[#All],[Account Type2]])</f>
        <v>Roth IRA</v>
      </c>
      <c r="D99" s="64" t="str" cm="1">
        <f t="array" ref="D99">_xlfn.XLOOKUP(Table4[[#This Row],[Account]],Table25[[#All],[Account]],Table25[[#All],[Owner]])</f>
        <v>Shaun</v>
      </c>
      <c r="E99" s="65" t="str">
        <f>IF(Table4[[#This Row],[Date Sold]]&lt;&gt;"","Closed","Open")</f>
        <v>Open</v>
      </c>
      <c r="F99" s="66" t="s">
        <v>267</v>
      </c>
      <c r="G99" s="67" t="str" cm="1">
        <f t="array" ref="G99">_xlfn.XLOOKUP(Table4[[#This Row],[Symbol]],Table36[[#All],[Symbol]],Table36[[#All],[Security Description]])</f>
        <v>NVIDIA CORPORATION COM</v>
      </c>
      <c r="H99" s="40">
        <v>45720</v>
      </c>
      <c r="I99" s="6">
        <v>1</v>
      </c>
      <c r="J99" s="68">
        <v>112.64</v>
      </c>
      <c r="K99" s="69"/>
      <c r="L99" s="65"/>
      <c r="M99" s="70"/>
      <c r="N99" s="68"/>
    </row>
  </sheetData>
  <pageMargins left="0.7" right="0.7" top="0.75" bottom="0.75" header="0.3" footer="0.3"/>
  <pageSetup orientation="portrait" useFirstPageNumber="1" horizontalDpi="0" verticalDpi="0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8"/>
  </sheetPr>
  <dimension ref="A2:G23"/>
  <sheetViews>
    <sheetView zoomScale="156" zoomScaleNormal="100" workbookViewId="0">
      <selection activeCell="D10" sqref="D10"/>
    </sheetView>
  </sheetViews>
  <sheetFormatPr baseColWidth="10" defaultColWidth="8.83203125" defaultRowHeight="15" x14ac:dyDescent="0.2"/>
  <cols>
    <col min="2" max="2" width="21.1640625" style="43" customWidth="1"/>
    <col min="3" max="3" width="23.83203125" customWidth="1"/>
    <col min="4" max="4" width="24.1640625" customWidth="1"/>
    <col min="5" max="5" width="19" customWidth="1"/>
    <col min="6" max="7" width="10.83203125" style="43" customWidth="1"/>
  </cols>
  <sheetData>
    <row r="2" spans="1:7" x14ac:dyDescent="0.2">
      <c r="C2" s="44" t="s">
        <v>95</v>
      </c>
      <c r="D2" s="44"/>
    </row>
    <row r="3" spans="1:7" ht="18" customHeight="1" x14ac:dyDescent="0.2">
      <c r="B3" s="45" t="s">
        <v>96</v>
      </c>
      <c r="C3" s="21">
        <v>47908</v>
      </c>
      <c r="D3" s="46"/>
      <c r="F3" s="47"/>
    </row>
    <row r="4" spans="1:7" ht="18" customHeight="1" x14ac:dyDescent="0.2">
      <c r="B4" s="45" t="s">
        <v>97</v>
      </c>
      <c r="C4" s="21">
        <v>47939</v>
      </c>
      <c r="D4" s="45" t="s">
        <v>98</v>
      </c>
      <c r="F4" s="47"/>
    </row>
    <row r="5" spans="1:7" ht="18" customHeight="1" x14ac:dyDescent="0.2">
      <c r="B5" s="45" t="s">
        <v>99</v>
      </c>
      <c r="C5" t="s">
        <v>100</v>
      </c>
      <c r="D5" s="46"/>
      <c r="F5" s="47"/>
    </row>
    <row r="6" spans="1:7" ht="18" customHeight="1" x14ac:dyDescent="0.2">
      <c r="B6" s="45" t="s">
        <v>101</v>
      </c>
      <c r="C6" s="21">
        <v>28515</v>
      </c>
      <c r="D6" s="46"/>
      <c r="F6" s="47"/>
    </row>
    <row r="7" spans="1:7" ht="18" customHeight="1" x14ac:dyDescent="0.2">
      <c r="B7" s="45" t="s">
        <v>102</v>
      </c>
      <c r="C7" s="17">
        <v>0</v>
      </c>
      <c r="D7" s="46"/>
      <c r="F7" s="47"/>
    </row>
    <row r="8" spans="1:7" x14ac:dyDescent="0.2">
      <c r="B8" s="45" t="s">
        <v>103</v>
      </c>
      <c r="C8" s="17">
        <v>0</v>
      </c>
    </row>
    <row r="9" spans="1:7" x14ac:dyDescent="0.2">
      <c r="B9" s="48" t="s">
        <v>104</v>
      </c>
      <c r="C9" s="21">
        <v>27760</v>
      </c>
    </row>
    <row r="10" spans="1:7" x14ac:dyDescent="0.2">
      <c r="A10" s="49"/>
      <c r="B10" s="45" t="s">
        <v>105</v>
      </c>
      <c r="D10" s="45" t="s">
        <v>106</v>
      </c>
      <c r="E10" s="45" t="s">
        <v>107</v>
      </c>
      <c r="F10" s="50"/>
      <c r="G10" s="50"/>
    </row>
    <row r="11" spans="1:7" x14ac:dyDescent="0.2">
      <c r="A11" s="49"/>
      <c r="B11" s="45" t="s">
        <v>108</v>
      </c>
      <c r="D11" s="51">
        <v>660637.24</v>
      </c>
      <c r="E11" s="52">
        <v>0</v>
      </c>
      <c r="F11" s="50" t="s">
        <v>109</v>
      </c>
      <c r="G11" s="50" t="s">
        <v>110</v>
      </c>
    </row>
    <row r="12" spans="1:7" ht="16" customHeight="1" x14ac:dyDescent="0.2">
      <c r="B12" s="43" t="s">
        <v>111</v>
      </c>
      <c r="C12" s="49" t="s">
        <v>112</v>
      </c>
      <c r="D12" s="51">
        <v>3815.64</v>
      </c>
      <c r="E12" s="52">
        <v>0</v>
      </c>
      <c r="F12" s="50" t="s">
        <v>113</v>
      </c>
      <c r="G12" s="50"/>
    </row>
    <row r="13" spans="1:7" x14ac:dyDescent="0.2">
      <c r="B13" s="60" t="s">
        <v>114</v>
      </c>
      <c r="C13" s="49" t="s">
        <v>115</v>
      </c>
      <c r="D13" s="51">
        <v>5711.25</v>
      </c>
      <c r="E13" s="52">
        <v>0</v>
      </c>
      <c r="F13" s="50" t="s">
        <v>113</v>
      </c>
      <c r="G13" s="21">
        <v>47939</v>
      </c>
    </row>
    <row r="14" spans="1:7" x14ac:dyDescent="0.2">
      <c r="B14" s="60"/>
      <c r="C14" s="49" t="s">
        <v>116</v>
      </c>
      <c r="D14" s="51">
        <v>2727.65</v>
      </c>
      <c r="E14" s="52">
        <v>0</v>
      </c>
      <c r="F14" s="50" t="s">
        <v>113</v>
      </c>
      <c r="G14" s="53">
        <v>50406</v>
      </c>
    </row>
    <row r="15" spans="1:7" ht="32" customHeight="1" x14ac:dyDescent="0.2">
      <c r="A15" s="49"/>
      <c r="B15" s="43" t="s">
        <v>117</v>
      </c>
      <c r="C15" s="49" t="s">
        <v>112</v>
      </c>
      <c r="D15" s="51">
        <v>3576.77</v>
      </c>
      <c r="E15" s="51">
        <v>1948.65</v>
      </c>
      <c r="F15" s="50" t="s">
        <v>113</v>
      </c>
      <c r="G15" s="21">
        <v>47939</v>
      </c>
    </row>
    <row r="16" spans="1:7" ht="48" customHeight="1" x14ac:dyDescent="0.2">
      <c r="B16" s="61" t="s">
        <v>118</v>
      </c>
      <c r="C16" s="49" t="s">
        <v>115</v>
      </c>
      <c r="D16" s="51">
        <v>5472.46</v>
      </c>
      <c r="E16" s="51">
        <v>4333.99</v>
      </c>
      <c r="F16" s="50" t="s">
        <v>113</v>
      </c>
      <c r="G16" s="21">
        <v>47939</v>
      </c>
    </row>
    <row r="17" spans="2:7" x14ac:dyDescent="0.2">
      <c r="B17" s="61"/>
      <c r="C17" s="49" t="s">
        <v>116</v>
      </c>
      <c r="D17" s="51">
        <v>2488.86</v>
      </c>
      <c r="E17" s="51">
        <v>1350.39</v>
      </c>
      <c r="F17" s="50" t="s">
        <v>113</v>
      </c>
      <c r="G17" s="53">
        <v>50406</v>
      </c>
    </row>
    <row r="18" spans="2:7" ht="32" customHeight="1" x14ac:dyDescent="0.2">
      <c r="B18" s="43" t="s">
        <v>119</v>
      </c>
      <c r="C18" s="49" t="s">
        <v>112</v>
      </c>
      <c r="D18" s="51">
        <v>3497.16</v>
      </c>
      <c r="E18" s="51">
        <v>2622.87</v>
      </c>
      <c r="F18" s="50" t="s">
        <v>113</v>
      </c>
      <c r="G18" s="21">
        <v>47939</v>
      </c>
    </row>
    <row r="19" spans="2:7" x14ac:dyDescent="0.2">
      <c r="B19" s="60" t="s">
        <v>120</v>
      </c>
      <c r="C19" s="49" t="s">
        <v>115</v>
      </c>
      <c r="D19" s="49">
        <v>5392.97</v>
      </c>
      <c r="E19" s="49">
        <v>4790.63</v>
      </c>
      <c r="F19" s="50" t="s">
        <v>113</v>
      </c>
      <c r="G19" s="21">
        <v>47939</v>
      </c>
    </row>
    <row r="20" spans="2:7" x14ac:dyDescent="0.2">
      <c r="B20" s="60"/>
      <c r="C20" s="49" t="s">
        <v>116</v>
      </c>
      <c r="D20" s="51">
        <v>2409.37</v>
      </c>
      <c r="E20" s="51">
        <v>1807.03</v>
      </c>
      <c r="F20" s="50" t="s">
        <v>113</v>
      </c>
      <c r="G20" s="53">
        <v>50406</v>
      </c>
    </row>
    <row r="21" spans="2:7" x14ac:dyDescent="0.2">
      <c r="C21" s="49"/>
      <c r="D21" s="51"/>
      <c r="E21" s="51"/>
      <c r="F21" s="50"/>
      <c r="G21" s="50"/>
    </row>
    <row r="22" spans="2:7" x14ac:dyDescent="0.2">
      <c r="B22" s="45" t="s">
        <v>121</v>
      </c>
      <c r="C22" s="49" t="s">
        <v>108</v>
      </c>
      <c r="D22" s="51">
        <v>28471.48</v>
      </c>
      <c r="E22" s="51">
        <v>0</v>
      </c>
      <c r="F22" s="50" t="s">
        <v>109</v>
      </c>
      <c r="G22" s="53">
        <v>48106</v>
      </c>
    </row>
    <row r="23" spans="2:7" x14ac:dyDescent="0.2">
      <c r="C23" s="49"/>
      <c r="D23" s="49"/>
      <c r="E23" s="49"/>
      <c r="F23" s="50"/>
      <c r="G23" s="50"/>
    </row>
  </sheetData>
  <mergeCells count="3">
    <mergeCell ref="B13:B14"/>
    <mergeCell ref="B16:B17"/>
    <mergeCell ref="B19:B20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8"/>
  </sheetPr>
  <dimension ref="B2:C123"/>
  <sheetViews>
    <sheetView topLeftCell="A76" zoomScaleNormal="100" workbookViewId="0">
      <selection activeCell="C25" sqref="C25"/>
    </sheetView>
  </sheetViews>
  <sheetFormatPr baseColWidth="10" defaultColWidth="10.83203125" defaultRowHeight="16" customHeight="1" x14ac:dyDescent="0.2"/>
  <cols>
    <col min="1" max="2" width="10.83203125" style="2" customWidth="1"/>
    <col min="3" max="3" width="80.83203125" style="2" customWidth="1"/>
    <col min="4" max="4" width="10.83203125" style="2" customWidth="1"/>
    <col min="5" max="16384" width="10.83203125" style="2"/>
  </cols>
  <sheetData>
    <row r="2" spans="2:3" ht="29" customHeight="1" x14ac:dyDescent="0.2">
      <c r="B2" s="54" t="s">
        <v>81</v>
      </c>
      <c r="C2" s="54" t="s">
        <v>82</v>
      </c>
    </row>
    <row r="3" spans="2:3" x14ac:dyDescent="0.2">
      <c r="B3" s="55" t="s">
        <v>90</v>
      </c>
      <c r="C3" s="55" t="s">
        <v>122</v>
      </c>
    </row>
    <row r="4" spans="2:3" x14ac:dyDescent="0.2">
      <c r="B4" s="55" t="s">
        <v>123</v>
      </c>
      <c r="C4" s="55" t="s">
        <v>124</v>
      </c>
    </row>
    <row r="5" spans="2:3" x14ac:dyDescent="0.2">
      <c r="B5" s="55" t="s">
        <v>93</v>
      </c>
      <c r="C5" s="55" t="s">
        <v>125</v>
      </c>
    </row>
    <row r="6" spans="2:3" x14ac:dyDescent="0.2">
      <c r="B6" s="55" t="s">
        <v>126</v>
      </c>
      <c r="C6" s="6" t="s">
        <v>127</v>
      </c>
    </row>
    <row r="7" spans="2:3" x14ac:dyDescent="0.2">
      <c r="B7" s="55" t="s">
        <v>128</v>
      </c>
      <c r="C7" s="55" t="s">
        <v>129</v>
      </c>
    </row>
    <row r="8" spans="2:3" x14ac:dyDescent="0.2">
      <c r="B8" s="55" t="s">
        <v>130</v>
      </c>
      <c r="C8" s="55" t="s">
        <v>131</v>
      </c>
    </row>
    <row r="9" spans="2:3" x14ac:dyDescent="0.2">
      <c r="B9" s="55" t="s">
        <v>132</v>
      </c>
      <c r="C9" s="55" t="s">
        <v>133</v>
      </c>
    </row>
    <row r="10" spans="2:3" x14ac:dyDescent="0.2">
      <c r="B10" s="55" t="s">
        <v>94</v>
      </c>
      <c r="C10" s="56" t="s">
        <v>134</v>
      </c>
    </row>
    <row r="11" spans="2:3" x14ac:dyDescent="0.2">
      <c r="B11" s="55" t="s">
        <v>135</v>
      </c>
      <c r="C11" s="55" t="s">
        <v>136</v>
      </c>
    </row>
    <row r="12" spans="2:3" x14ac:dyDescent="0.2">
      <c r="B12" s="55" t="s">
        <v>137</v>
      </c>
      <c r="C12" s="55" t="s">
        <v>138</v>
      </c>
    </row>
    <row r="13" spans="2:3" x14ac:dyDescent="0.2">
      <c r="B13" s="55" t="s">
        <v>139</v>
      </c>
      <c r="C13" s="55" t="s">
        <v>140</v>
      </c>
    </row>
    <row r="14" spans="2:3" x14ac:dyDescent="0.2">
      <c r="B14" s="55" t="s">
        <v>141</v>
      </c>
      <c r="C14" s="55" t="s">
        <v>142</v>
      </c>
    </row>
    <row r="15" spans="2:3" x14ac:dyDescent="0.2">
      <c r="B15" s="55" t="s">
        <v>143</v>
      </c>
      <c r="C15" s="55" t="s">
        <v>144</v>
      </c>
    </row>
    <row r="16" spans="2:3" x14ac:dyDescent="0.2">
      <c r="B16" s="55" t="s">
        <v>145</v>
      </c>
      <c r="C16" s="55" t="s">
        <v>146</v>
      </c>
    </row>
    <row r="17" spans="2:3" x14ac:dyDescent="0.2">
      <c r="B17" s="55" t="s">
        <v>147</v>
      </c>
      <c r="C17" s="55" t="s">
        <v>148</v>
      </c>
    </row>
    <row r="18" spans="2:3" x14ac:dyDescent="0.2">
      <c r="B18" s="55" t="s">
        <v>147</v>
      </c>
      <c r="C18" s="55" t="s">
        <v>149</v>
      </c>
    </row>
    <row r="19" spans="2:3" x14ac:dyDescent="0.2">
      <c r="B19" s="55" t="s">
        <v>150</v>
      </c>
      <c r="C19" s="55" t="s">
        <v>151</v>
      </c>
    </row>
    <row r="20" spans="2:3" x14ac:dyDescent="0.2">
      <c r="B20" s="55" t="s">
        <v>152</v>
      </c>
      <c r="C20" s="55" t="s">
        <v>153</v>
      </c>
    </row>
    <row r="21" spans="2:3" x14ac:dyDescent="0.2">
      <c r="B21" s="55" t="s">
        <v>154</v>
      </c>
      <c r="C21" s="55" t="s">
        <v>155</v>
      </c>
    </row>
    <row r="22" spans="2:3" x14ac:dyDescent="0.2">
      <c r="B22" s="55" t="s">
        <v>156</v>
      </c>
      <c r="C22" s="55" t="s">
        <v>157</v>
      </c>
    </row>
    <row r="23" spans="2:3" x14ac:dyDescent="0.2">
      <c r="B23" s="55" t="s">
        <v>158</v>
      </c>
      <c r="C23" s="55" t="s">
        <v>159</v>
      </c>
    </row>
    <row r="24" spans="2:3" x14ac:dyDescent="0.2">
      <c r="B24" s="55" t="s">
        <v>160</v>
      </c>
      <c r="C24" s="55" t="s">
        <v>161</v>
      </c>
    </row>
    <row r="25" spans="2:3" x14ac:dyDescent="0.2">
      <c r="B25" s="55" t="s">
        <v>162</v>
      </c>
      <c r="C25" s="55" t="s">
        <v>163</v>
      </c>
    </row>
    <row r="26" spans="2:3" x14ac:dyDescent="0.2">
      <c r="B26" s="55" t="s">
        <v>164</v>
      </c>
      <c r="C26" s="55" t="s">
        <v>165</v>
      </c>
    </row>
    <row r="27" spans="2:3" x14ac:dyDescent="0.2">
      <c r="B27" s="55" t="s">
        <v>166</v>
      </c>
      <c r="C27" s="55" t="s">
        <v>167</v>
      </c>
    </row>
    <row r="28" spans="2:3" x14ac:dyDescent="0.2">
      <c r="B28" s="55" t="s">
        <v>168</v>
      </c>
      <c r="C28" s="55" t="s">
        <v>169</v>
      </c>
    </row>
    <row r="29" spans="2:3" x14ac:dyDescent="0.2">
      <c r="B29" s="55" t="s">
        <v>170</v>
      </c>
      <c r="C29" s="55" t="s">
        <v>171</v>
      </c>
    </row>
    <row r="30" spans="2:3" x14ac:dyDescent="0.2">
      <c r="B30" s="55" t="s">
        <v>172</v>
      </c>
      <c r="C30" s="55" t="s">
        <v>173</v>
      </c>
    </row>
    <row r="31" spans="2:3" x14ac:dyDescent="0.2">
      <c r="B31" s="55" t="s">
        <v>174</v>
      </c>
      <c r="C31" s="55" t="s">
        <v>175</v>
      </c>
    </row>
    <row r="32" spans="2:3" x14ac:dyDescent="0.2">
      <c r="B32" s="55" t="s">
        <v>176</v>
      </c>
      <c r="C32" s="55" t="s">
        <v>177</v>
      </c>
    </row>
    <row r="33" spans="2:3" x14ac:dyDescent="0.2">
      <c r="B33" s="55" t="s">
        <v>178</v>
      </c>
      <c r="C33" s="55" t="s">
        <v>179</v>
      </c>
    </row>
    <row r="34" spans="2:3" x14ac:dyDescent="0.2">
      <c r="B34" s="55" t="s">
        <v>180</v>
      </c>
      <c r="C34" s="55" t="s">
        <v>181</v>
      </c>
    </row>
    <row r="35" spans="2:3" x14ac:dyDescent="0.2">
      <c r="B35" s="55" t="s">
        <v>182</v>
      </c>
      <c r="C35" s="55" t="s">
        <v>183</v>
      </c>
    </row>
    <row r="36" spans="2:3" x14ac:dyDescent="0.2">
      <c r="B36" s="55" t="s">
        <v>184</v>
      </c>
      <c r="C36" s="55" t="s">
        <v>185</v>
      </c>
    </row>
    <row r="37" spans="2:3" x14ac:dyDescent="0.2">
      <c r="B37" s="55" t="s">
        <v>186</v>
      </c>
      <c r="C37" s="55" t="s">
        <v>187</v>
      </c>
    </row>
    <row r="38" spans="2:3" x14ac:dyDescent="0.2">
      <c r="B38" s="55" t="s">
        <v>188</v>
      </c>
      <c r="C38" s="55" t="s">
        <v>189</v>
      </c>
    </row>
    <row r="39" spans="2:3" x14ac:dyDescent="0.2">
      <c r="B39" s="55" t="s">
        <v>190</v>
      </c>
      <c r="C39" s="55" t="s">
        <v>191</v>
      </c>
    </row>
    <row r="40" spans="2:3" x14ac:dyDescent="0.2">
      <c r="B40" s="55" t="s">
        <v>192</v>
      </c>
      <c r="C40" s="55" t="s">
        <v>193</v>
      </c>
    </row>
    <row r="41" spans="2:3" x14ac:dyDescent="0.2">
      <c r="B41" s="55" t="s">
        <v>194</v>
      </c>
      <c r="C41" s="55" t="s">
        <v>195</v>
      </c>
    </row>
    <row r="42" spans="2:3" x14ac:dyDescent="0.2">
      <c r="B42" s="55" t="s">
        <v>196</v>
      </c>
      <c r="C42" s="55" t="s">
        <v>197</v>
      </c>
    </row>
    <row r="43" spans="2:3" x14ac:dyDescent="0.2">
      <c r="B43" s="55" t="s">
        <v>198</v>
      </c>
      <c r="C43" s="55" t="s">
        <v>199</v>
      </c>
    </row>
    <row r="44" spans="2:3" x14ac:dyDescent="0.2">
      <c r="B44" s="55" t="s">
        <v>200</v>
      </c>
      <c r="C44" s="55" t="s">
        <v>201</v>
      </c>
    </row>
    <row r="45" spans="2:3" x14ac:dyDescent="0.2">
      <c r="B45" s="55" t="s">
        <v>202</v>
      </c>
      <c r="C45" s="55" t="s">
        <v>203</v>
      </c>
    </row>
    <row r="46" spans="2:3" x14ac:dyDescent="0.2">
      <c r="B46" s="55" t="s">
        <v>204</v>
      </c>
      <c r="C46" s="55" t="s">
        <v>205</v>
      </c>
    </row>
    <row r="47" spans="2:3" x14ac:dyDescent="0.2">
      <c r="B47" s="55" t="s">
        <v>206</v>
      </c>
      <c r="C47" s="55" t="s">
        <v>207</v>
      </c>
    </row>
    <row r="48" spans="2:3" x14ac:dyDescent="0.2">
      <c r="B48" s="55" t="s">
        <v>208</v>
      </c>
      <c r="C48" s="55" t="s">
        <v>209</v>
      </c>
    </row>
    <row r="49" spans="2:3" x14ac:dyDescent="0.2">
      <c r="B49" s="55" t="s">
        <v>210</v>
      </c>
      <c r="C49" s="55" t="s">
        <v>211</v>
      </c>
    </row>
    <row r="50" spans="2:3" x14ac:dyDescent="0.2">
      <c r="B50" s="55" t="s">
        <v>212</v>
      </c>
      <c r="C50" s="55" t="s">
        <v>213</v>
      </c>
    </row>
    <row r="51" spans="2:3" x14ac:dyDescent="0.2">
      <c r="B51" s="55" t="s">
        <v>214</v>
      </c>
      <c r="C51" s="55" t="s">
        <v>215</v>
      </c>
    </row>
    <row r="52" spans="2:3" x14ac:dyDescent="0.2">
      <c r="B52" s="55" t="s">
        <v>214</v>
      </c>
      <c r="C52" s="55" t="s">
        <v>216</v>
      </c>
    </row>
    <row r="53" spans="2:3" x14ac:dyDescent="0.2">
      <c r="B53" s="55" t="s">
        <v>214</v>
      </c>
      <c r="C53" s="57" t="s">
        <v>216</v>
      </c>
    </row>
    <row r="54" spans="2:3" x14ac:dyDescent="0.2">
      <c r="B54" s="55" t="s">
        <v>217</v>
      </c>
      <c r="C54" s="55" t="s">
        <v>218</v>
      </c>
    </row>
    <row r="55" spans="2:3" x14ac:dyDescent="0.2">
      <c r="B55" s="55" t="s">
        <v>219</v>
      </c>
      <c r="C55" s="55" t="s">
        <v>220</v>
      </c>
    </row>
    <row r="56" spans="2:3" x14ac:dyDescent="0.2">
      <c r="B56" s="55" t="s">
        <v>221</v>
      </c>
      <c r="C56" s="55" t="s">
        <v>222</v>
      </c>
    </row>
    <row r="57" spans="2:3" x14ac:dyDescent="0.2">
      <c r="B57" s="55" t="s">
        <v>223</v>
      </c>
      <c r="C57" s="55" t="s">
        <v>224</v>
      </c>
    </row>
    <row r="58" spans="2:3" x14ac:dyDescent="0.2">
      <c r="B58" s="55" t="s">
        <v>225</v>
      </c>
      <c r="C58" s="55" t="s">
        <v>226</v>
      </c>
    </row>
    <row r="59" spans="2:3" x14ac:dyDescent="0.2">
      <c r="B59" s="55" t="s">
        <v>227</v>
      </c>
      <c r="C59" s="55" t="s">
        <v>228</v>
      </c>
    </row>
    <row r="60" spans="2:3" x14ac:dyDescent="0.2">
      <c r="B60" s="55" t="s">
        <v>229</v>
      </c>
      <c r="C60" s="55" t="s">
        <v>230</v>
      </c>
    </row>
    <row r="61" spans="2:3" x14ac:dyDescent="0.2">
      <c r="B61" s="55" t="s">
        <v>231</v>
      </c>
      <c r="C61" s="55" t="s">
        <v>232</v>
      </c>
    </row>
    <row r="62" spans="2:3" x14ac:dyDescent="0.2">
      <c r="B62" s="55" t="s">
        <v>233</v>
      </c>
      <c r="C62" s="55" t="s">
        <v>234</v>
      </c>
    </row>
    <row r="63" spans="2:3" x14ac:dyDescent="0.2">
      <c r="B63" s="55" t="s">
        <v>235</v>
      </c>
      <c r="C63" s="55" t="s">
        <v>236</v>
      </c>
    </row>
    <row r="64" spans="2:3" x14ac:dyDescent="0.2">
      <c r="B64" s="55" t="s">
        <v>237</v>
      </c>
      <c r="C64" s="55" t="s">
        <v>238</v>
      </c>
    </row>
    <row r="65" spans="2:3" x14ac:dyDescent="0.2">
      <c r="B65" s="55" t="s">
        <v>239</v>
      </c>
      <c r="C65" s="55" t="s">
        <v>240</v>
      </c>
    </row>
    <row r="66" spans="2:3" x14ac:dyDescent="0.2">
      <c r="B66" s="55" t="s">
        <v>241</v>
      </c>
      <c r="C66" s="55" t="s">
        <v>242</v>
      </c>
    </row>
    <row r="67" spans="2:3" x14ac:dyDescent="0.2">
      <c r="B67" s="55" t="s">
        <v>243</v>
      </c>
      <c r="C67" s="55" t="s">
        <v>244</v>
      </c>
    </row>
    <row r="68" spans="2:3" x14ac:dyDescent="0.2">
      <c r="B68" s="55" t="s">
        <v>245</v>
      </c>
      <c r="C68" s="55" t="s">
        <v>246</v>
      </c>
    </row>
    <row r="69" spans="2:3" x14ac:dyDescent="0.2">
      <c r="B69" s="55" t="s">
        <v>247</v>
      </c>
      <c r="C69" s="55" t="s">
        <v>248</v>
      </c>
    </row>
    <row r="70" spans="2:3" x14ac:dyDescent="0.2">
      <c r="B70" s="55" t="s">
        <v>249</v>
      </c>
      <c r="C70" s="55" t="s">
        <v>205</v>
      </c>
    </row>
    <row r="71" spans="2:3" x14ac:dyDescent="0.2">
      <c r="B71" s="55" t="s">
        <v>250</v>
      </c>
      <c r="C71" s="55" t="s">
        <v>251</v>
      </c>
    </row>
    <row r="72" spans="2:3" x14ac:dyDescent="0.2">
      <c r="B72" s="55" t="s">
        <v>252</v>
      </c>
      <c r="C72" s="55" t="s">
        <v>253</v>
      </c>
    </row>
    <row r="73" spans="2:3" x14ac:dyDescent="0.2">
      <c r="B73" s="55" t="s">
        <v>254</v>
      </c>
      <c r="C73" s="55" t="s">
        <v>255</v>
      </c>
    </row>
    <row r="74" spans="2:3" x14ac:dyDescent="0.2">
      <c r="B74" s="55" t="s">
        <v>256</v>
      </c>
      <c r="C74" s="55" t="s">
        <v>257</v>
      </c>
    </row>
    <row r="75" spans="2:3" x14ac:dyDescent="0.2">
      <c r="B75" s="55" t="s">
        <v>258</v>
      </c>
      <c r="C75" s="55" t="s">
        <v>259</v>
      </c>
    </row>
    <row r="76" spans="2:3" x14ac:dyDescent="0.2">
      <c r="B76" s="55" t="s">
        <v>260</v>
      </c>
      <c r="C76" s="55" t="s">
        <v>261</v>
      </c>
    </row>
    <row r="77" spans="2:3" x14ac:dyDescent="0.2">
      <c r="B77" s="55" t="s">
        <v>262</v>
      </c>
      <c r="C77" s="55" t="s">
        <v>263</v>
      </c>
    </row>
    <row r="78" spans="2:3" x14ac:dyDescent="0.2">
      <c r="B78" s="55" t="s">
        <v>264</v>
      </c>
      <c r="C78" s="55" t="s">
        <v>265</v>
      </c>
    </row>
    <row r="79" spans="2:3" x14ac:dyDescent="0.2">
      <c r="B79" s="55" t="s">
        <v>264</v>
      </c>
      <c r="C79" s="55" t="s">
        <v>266</v>
      </c>
    </row>
    <row r="80" spans="2:3" x14ac:dyDescent="0.2">
      <c r="B80" s="55" t="s">
        <v>267</v>
      </c>
      <c r="C80" s="55" t="s">
        <v>268</v>
      </c>
    </row>
    <row r="81" spans="2:3" x14ac:dyDescent="0.2">
      <c r="B81" s="55" t="s">
        <v>269</v>
      </c>
      <c r="C81" s="55" t="s">
        <v>270</v>
      </c>
    </row>
    <row r="82" spans="2:3" x14ac:dyDescent="0.2">
      <c r="B82" s="55" t="s">
        <v>271</v>
      </c>
      <c r="C82" s="55" t="s">
        <v>272</v>
      </c>
    </row>
    <row r="83" spans="2:3" x14ac:dyDescent="0.2">
      <c r="B83" s="55" t="s">
        <v>273</v>
      </c>
      <c r="C83" s="55" t="s">
        <v>274</v>
      </c>
    </row>
    <row r="84" spans="2:3" x14ac:dyDescent="0.2">
      <c r="B84" s="55" t="s">
        <v>275</v>
      </c>
      <c r="C84" s="55" t="s">
        <v>276</v>
      </c>
    </row>
    <row r="85" spans="2:3" x14ac:dyDescent="0.2">
      <c r="B85" s="55" t="s">
        <v>277</v>
      </c>
      <c r="C85" s="55" t="s">
        <v>278</v>
      </c>
    </row>
    <row r="86" spans="2:3" x14ac:dyDescent="0.2">
      <c r="B86" s="55" t="s">
        <v>279</v>
      </c>
      <c r="C86" s="55" t="s">
        <v>280</v>
      </c>
    </row>
    <row r="87" spans="2:3" x14ac:dyDescent="0.2">
      <c r="B87" s="55" t="s">
        <v>281</v>
      </c>
      <c r="C87" s="55" t="s">
        <v>282</v>
      </c>
    </row>
    <row r="88" spans="2:3" x14ac:dyDescent="0.2">
      <c r="B88" s="55" t="s">
        <v>283</v>
      </c>
      <c r="C88" s="55" t="s">
        <v>284</v>
      </c>
    </row>
    <row r="89" spans="2:3" x14ac:dyDescent="0.2">
      <c r="B89" s="55" t="s">
        <v>285</v>
      </c>
      <c r="C89" s="55" t="s">
        <v>286</v>
      </c>
    </row>
    <row r="90" spans="2:3" x14ac:dyDescent="0.2">
      <c r="B90" s="55" t="s">
        <v>287</v>
      </c>
      <c r="C90" s="55" t="s">
        <v>288</v>
      </c>
    </row>
    <row r="91" spans="2:3" x14ac:dyDescent="0.2">
      <c r="B91" s="55" t="s">
        <v>289</v>
      </c>
      <c r="C91" s="55" t="s">
        <v>290</v>
      </c>
    </row>
    <row r="92" spans="2:3" x14ac:dyDescent="0.2">
      <c r="B92" s="55" t="s">
        <v>291</v>
      </c>
      <c r="C92" s="55" t="s">
        <v>292</v>
      </c>
    </row>
    <row r="93" spans="2:3" x14ac:dyDescent="0.2">
      <c r="B93" s="55" t="s">
        <v>293</v>
      </c>
      <c r="C93" s="55" t="s">
        <v>294</v>
      </c>
    </row>
    <row r="94" spans="2:3" x14ac:dyDescent="0.2">
      <c r="B94" s="55" t="s">
        <v>295</v>
      </c>
      <c r="C94" s="55" t="s">
        <v>296</v>
      </c>
    </row>
    <row r="95" spans="2:3" x14ac:dyDescent="0.2">
      <c r="B95" s="55" t="s">
        <v>297</v>
      </c>
      <c r="C95" s="55" t="s">
        <v>298</v>
      </c>
    </row>
    <row r="96" spans="2:3" x14ac:dyDescent="0.2">
      <c r="B96" s="55" t="s">
        <v>299</v>
      </c>
      <c r="C96" s="55" t="s">
        <v>300</v>
      </c>
    </row>
    <row r="97" spans="2:3" x14ac:dyDescent="0.2">
      <c r="B97" s="55" t="s">
        <v>301</v>
      </c>
      <c r="C97" s="55" t="s">
        <v>302</v>
      </c>
    </row>
    <row r="98" spans="2:3" x14ac:dyDescent="0.2">
      <c r="B98" s="55" t="s">
        <v>303</v>
      </c>
      <c r="C98" s="55" t="s">
        <v>304</v>
      </c>
    </row>
    <row r="99" spans="2:3" x14ac:dyDescent="0.2">
      <c r="B99" s="55" t="s">
        <v>305</v>
      </c>
      <c r="C99" s="55" t="s">
        <v>306</v>
      </c>
    </row>
    <row r="100" spans="2:3" x14ac:dyDescent="0.2">
      <c r="B100" s="55" t="s">
        <v>307</v>
      </c>
      <c r="C100" s="55" t="s">
        <v>308</v>
      </c>
    </row>
    <row r="101" spans="2:3" x14ac:dyDescent="0.2">
      <c r="B101" s="55" t="s">
        <v>309</v>
      </c>
      <c r="C101" s="55" t="s">
        <v>310</v>
      </c>
    </row>
    <row r="102" spans="2:3" x14ac:dyDescent="0.2">
      <c r="B102" s="55" t="s">
        <v>311</v>
      </c>
      <c r="C102" s="55" t="s">
        <v>312</v>
      </c>
    </row>
    <row r="103" spans="2:3" x14ac:dyDescent="0.2">
      <c r="B103" s="55" t="s">
        <v>313</v>
      </c>
      <c r="C103" s="55" t="s">
        <v>314</v>
      </c>
    </row>
    <row r="104" spans="2:3" x14ac:dyDescent="0.2">
      <c r="B104" s="55" t="s">
        <v>315</v>
      </c>
      <c r="C104" s="55" t="s">
        <v>316</v>
      </c>
    </row>
    <row r="105" spans="2:3" x14ac:dyDescent="0.2">
      <c r="B105" s="55" t="s">
        <v>317</v>
      </c>
      <c r="C105" s="55" t="s">
        <v>318</v>
      </c>
    </row>
    <row r="106" spans="2:3" x14ac:dyDescent="0.2">
      <c r="B106" s="55" t="s">
        <v>319</v>
      </c>
      <c r="C106" s="55" t="s">
        <v>320</v>
      </c>
    </row>
    <row r="107" spans="2:3" x14ac:dyDescent="0.2">
      <c r="B107" s="55" t="s">
        <v>321</v>
      </c>
      <c r="C107" s="55" t="s">
        <v>322</v>
      </c>
    </row>
    <row r="108" spans="2:3" x14ac:dyDescent="0.2">
      <c r="B108" s="55" t="s">
        <v>323</v>
      </c>
      <c r="C108" s="55" t="s">
        <v>324</v>
      </c>
    </row>
    <row r="109" spans="2:3" x14ac:dyDescent="0.2">
      <c r="B109" s="55" t="s">
        <v>325</v>
      </c>
      <c r="C109" s="55" t="s">
        <v>326</v>
      </c>
    </row>
    <row r="110" spans="2:3" x14ac:dyDescent="0.2">
      <c r="B110" s="55" t="s">
        <v>327</v>
      </c>
      <c r="C110" s="55" t="s">
        <v>328</v>
      </c>
    </row>
    <row r="111" spans="2:3" x14ac:dyDescent="0.2">
      <c r="B111" s="55" t="s">
        <v>329</v>
      </c>
      <c r="C111" s="55" t="s">
        <v>330</v>
      </c>
    </row>
    <row r="112" spans="2:3" x14ac:dyDescent="0.2">
      <c r="B112" s="55" t="s">
        <v>331</v>
      </c>
      <c r="C112" s="55" t="s">
        <v>332</v>
      </c>
    </row>
    <row r="113" spans="2:3" x14ac:dyDescent="0.2">
      <c r="B113" s="55" t="s">
        <v>333</v>
      </c>
      <c r="C113" s="55" t="s">
        <v>334</v>
      </c>
    </row>
    <row r="114" spans="2:3" x14ac:dyDescent="0.2">
      <c r="B114" s="55" t="s">
        <v>335</v>
      </c>
      <c r="C114" s="55" t="s">
        <v>336</v>
      </c>
    </row>
    <row r="115" spans="2:3" x14ac:dyDescent="0.2">
      <c r="B115" s="55" t="s">
        <v>337</v>
      </c>
      <c r="C115" s="55" t="s">
        <v>338</v>
      </c>
    </row>
    <row r="116" spans="2:3" x14ac:dyDescent="0.2">
      <c r="B116" s="55" t="s">
        <v>339</v>
      </c>
      <c r="C116" s="55" t="s">
        <v>340</v>
      </c>
    </row>
    <row r="117" spans="2:3" x14ac:dyDescent="0.2">
      <c r="B117" s="55" t="s">
        <v>341</v>
      </c>
      <c r="C117" s="55" t="s">
        <v>342</v>
      </c>
    </row>
    <row r="118" spans="2:3" x14ac:dyDescent="0.2">
      <c r="B118" s="55" t="s">
        <v>343</v>
      </c>
      <c r="C118" s="55" t="s">
        <v>344</v>
      </c>
    </row>
    <row r="119" spans="2:3" x14ac:dyDescent="0.2">
      <c r="B119" s="55" t="s">
        <v>345</v>
      </c>
      <c r="C119" s="55" t="s">
        <v>346</v>
      </c>
    </row>
    <row r="120" spans="2:3" x14ac:dyDescent="0.2">
      <c r="B120" s="55" t="s">
        <v>347</v>
      </c>
      <c r="C120" s="55" t="s">
        <v>348</v>
      </c>
    </row>
    <row r="121" spans="2:3" x14ac:dyDescent="0.2">
      <c r="B121" s="55" t="s">
        <v>349</v>
      </c>
      <c r="C121" s="55" t="s">
        <v>350</v>
      </c>
    </row>
    <row r="122" spans="2:3" x14ac:dyDescent="0.2">
      <c r="B122" s="55" t="s">
        <v>351</v>
      </c>
      <c r="C122" s="55" t="s">
        <v>352</v>
      </c>
    </row>
    <row r="123" spans="2:3" x14ac:dyDescent="0.2">
      <c r="B123" s="58" t="s">
        <v>353</v>
      </c>
      <c r="C123" s="58" t="s">
        <v>354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9"/>
  </sheetPr>
  <dimension ref="B2:G18"/>
  <sheetViews>
    <sheetView zoomScaleNormal="100" workbookViewId="0">
      <selection activeCell="H16" sqref="H16"/>
    </sheetView>
  </sheetViews>
  <sheetFormatPr baseColWidth="10" defaultColWidth="10.83203125" defaultRowHeight="16" customHeight="1" x14ac:dyDescent="0.2"/>
  <cols>
    <col min="1" max="1" width="10.83203125" style="2" customWidth="1"/>
    <col min="2" max="2" width="24" style="2" customWidth="1"/>
    <col min="3" max="3" width="26" style="2" customWidth="1"/>
    <col min="4" max="4" width="14" style="2" customWidth="1"/>
    <col min="5" max="6" width="10.83203125" style="2" customWidth="1"/>
    <col min="7" max="7" width="12.5" style="2" customWidth="1"/>
    <col min="8" max="8" width="10.83203125" style="2" customWidth="1"/>
    <col min="9" max="16384" width="10.83203125" style="2"/>
  </cols>
  <sheetData>
    <row r="2" spans="2:7" ht="16" customHeight="1" x14ac:dyDescent="0.2">
      <c r="B2" s="2" t="s">
        <v>44</v>
      </c>
      <c r="C2" s="2" t="s">
        <v>45</v>
      </c>
      <c r="D2" s="2" t="s">
        <v>46</v>
      </c>
      <c r="F2" s="2" t="s">
        <v>47</v>
      </c>
      <c r="G2" s="18">
        <v>200000</v>
      </c>
    </row>
    <row r="3" spans="2:7" ht="16" customHeight="1" x14ac:dyDescent="0.2">
      <c r="B3" s="2" t="s">
        <v>48</v>
      </c>
      <c r="C3" s="2" t="s">
        <v>49</v>
      </c>
      <c r="D3" s="19">
        <v>20000</v>
      </c>
      <c r="F3" s="2" t="s">
        <v>50</v>
      </c>
      <c r="G3" s="18">
        <v>25000</v>
      </c>
    </row>
    <row r="4" spans="2:7" ht="16" customHeight="1" x14ac:dyDescent="0.2">
      <c r="B4" s="2" t="s">
        <v>51</v>
      </c>
      <c r="C4" s="2" t="s">
        <v>52</v>
      </c>
      <c r="D4" s="19">
        <v>10000</v>
      </c>
      <c r="F4" s="2" t="s">
        <v>28</v>
      </c>
      <c r="G4" s="18">
        <v>2500</v>
      </c>
    </row>
    <row r="5" spans="2:7" ht="16" customHeight="1" x14ac:dyDescent="0.2">
      <c r="B5" s="2" t="s">
        <v>47</v>
      </c>
      <c r="C5" s="2" t="s">
        <v>53</v>
      </c>
      <c r="D5" s="19">
        <f>(G4+2000)*12</f>
        <v>54000</v>
      </c>
      <c r="F5" s="2" t="s">
        <v>54</v>
      </c>
      <c r="G5" s="2">
        <v>2</v>
      </c>
    </row>
    <row r="6" spans="2:7" ht="16" customHeight="1" x14ac:dyDescent="0.2">
      <c r="B6" s="2" t="s">
        <v>47</v>
      </c>
      <c r="C6" s="2" t="s">
        <v>49</v>
      </c>
      <c r="D6" s="19">
        <v>5000</v>
      </c>
    </row>
    <row r="7" spans="2:7" ht="16" customHeight="1" x14ac:dyDescent="0.2">
      <c r="B7" s="2" t="s">
        <v>47</v>
      </c>
      <c r="C7" s="2" t="s">
        <v>55</v>
      </c>
      <c r="D7" s="19">
        <f>G2-SUM(D5:D6)</f>
        <v>141000</v>
      </c>
    </row>
    <row r="8" spans="2:7" ht="16" customHeight="1" x14ac:dyDescent="0.2">
      <c r="B8" s="2" t="s">
        <v>55</v>
      </c>
      <c r="C8" s="2" t="s">
        <v>56</v>
      </c>
      <c r="D8" s="19">
        <f>(250*G5)*12</f>
        <v>6000</v>
      </c>
    </row>
    <row r="9" spans="2:7" ht="16" customHeight="1" x14ac:dyDescent="0.2">
      <c r="B9" s="2" t="s">
        <v>55</v>
      </c>
      <c r="C9" s="2" t="s">
        <v>57</v>
      </c>
      <c r="D9" s="19">
        <v>10000</v>
      </c>
    </row>
    <row r="10" spans="2:7" ht="16" customHeight="1" x14ac:dyDescent="0.2">
      <c r="B10" s="2" t="s">
        <v>55</v>
      </c>
      <c r="C10" s="2" t="s">
        <v>58</v>
      </c>
      <c r="D10" s="19">
        <v>12000</v>
      </c>
    </row>
    <row r="11" spans="2:7" ht="16" customHeight="1" x14ac:dyDescent="0.2">
      <c r="B11" s="2" t="s">
        <v>55</v>
      </c>
      <c r="C11" s="2" t="s">
        <v>52</v>
      </c>
      <c r="D11" s="19">
        <f>D7-SUM(D8:D10,D12)</f>
        <v>108000</v>
      </c>
    </row>
    <row r="12" spans="2:7" ht="16" customHeight="1" x14ac:dyDescent="0.2">
      <c r="B12" s="2" t="s">
        <v>55</v>
      </c>
      <c r="C12" s="2" t="s">
        <v>59</v>
      </c>
      <c r="D12" s="2">
        <v>5000</v>
      </c>
    </row>
    <row r="15" spans="2:7" ht="16" customHeight="1" x14ac:dyDescent="0.2">
      <c r="D15" s="19"/>
    </row>
    <row r="16" spans="2:7" ht="16" customHeight="1" x14ac:dyDescent="0.2">
      <c r="D16" s="19"/>
    </row>
    <row r="17" spans="4:4" ht="16" customHeight="1" x14ac:dyDescent="0.2">
      <c r="D17" s="19"/>
    </row>
    <row r="18" spans="4:4" ht="16" customHeight="1" x14ac:dyDescent="0.2">
      <c r="D18" s="19"/>
    </row>
  </sheetData>
  <pageMargins left="0.75" right="0.75" top="1" bottom="1" header="0.5" footer="0.5"/>
  <pageSetup orientation="portrait" useFirstPageNumber="1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Lookup Tables</vt:lpstr>
      <vt:lpstr>Accounts</vt:lpstr>
      <vt:lpstr>Net Worth MoM</vt:lpstr>
      <vt:lpstr>Budget</vt:lpstr>
      <vt:lpstr>Mortgage</vt:lpstr>
      <vt:lpstr>Education Savings</vt:lpstr>
      <vt:lpstr>Brokerage Ledger</vt:lpstr>
      <vt:lpstr>Pension</vt:lpstr>
      <vt:lpstr>TICKERS</vt:lpstr>
      <vt:lpstr>Sankey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2026-03-31T03:04:34Z</dcterms:created>
  <dcterms:modified xsi:type="dcterms:W3CDTF">2026-05-02T01:46:43Z</dcterms:modified>
</cp:coreProperties>
</file>