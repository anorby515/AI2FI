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1060" yWindow="30320" windowWidth="28800" windowHeight="18000" activeTab="5"/>
  </bookViews>
  <sheets>
    <sheet sheetId="8" name="Lookup Tables" state="hidden" r:id="rId4"/>
    <sheet sheetId="4" name="Accounts" state="visible" r:id="rId5"/>
    <sheet sheetId="2" name="Net Worth MoM" state="visible" r:id="rId6"/>
    <sheet sheetId="9" name="Budget" state="visible" r:id="rId7"/>
    <sheet sheetId="1" name="Mortgage" state="visible" r:id="rId8"/>
    <sheet sheetId="7" name="Education Savings" state="visible" r:id="rId9"/>
    <sheet sheetId="10" name="Brokerage Ledger" state="visible" r:id="rId10"/>
    <sheet sheetId="5" name="TICKERS" state="visible" r:id="rId11"/>
    <sheet sheetId="11" name="Sankey" state="visible" r:id="rId12"/>
  </sheets>
  <calcPr calcId="171027"/>
</workbook>
</file>

<file path=xl/sharedStrings.xml><?xml version="1.0" encoding="utf-8"?>
<sst xmlns="http://schemas.openxmlformats.org/spreadsheetml/2006/main" count="620" uniqueCount="332">
  <si>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</si>
  <si>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</si>
  <si>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</si>
  <si>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</si>
  <si>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</si>
  <si>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</si>
  <si>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</si>
  <si>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</si>
  <si>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</si>
  <si>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</si>
  <si>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</si>
  <si>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</si>
  <si>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</si>
  <si>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</si>
  <si>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</si>
  <si>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</si>
  <si>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</si>
  <si>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</si>
  <si>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</si>
  <si>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</si>
  <si>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</si>
  <si>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</si>
  <si>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</si>
  <si>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</si>
  <si>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</si>
  <si>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</si>
  <si>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</si>
  <si>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</si>
  <si>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</si>
  <si>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</si>
  <si>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</si>
  <si>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</si>
  <si>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</si>
  <si>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</si>
  <si>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</si>
  <si>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</si>
  <si>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</si>
  <si>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</si>
  <si>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</si>
  <si>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</si>
  <si>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</si>
  <si>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</si>
  <si>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</si>
  <si>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</si>
  <si>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</si>
  <si>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</si>
  <si>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</si>
  <si>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</si>
  <si>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</si>
  <si>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</si>
  <si>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</si>
  <si>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</si>
  <si>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</si>
  <si>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</si>
  <si>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</si>
  <si>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</si>
  <si>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</si>
  <si>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</si>
  <si>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</si>
  <si>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</si>
  <si>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</si>
  <si>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</si>
  <si>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</si>
  <si>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</si>
  <si>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</si>
  <si>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</si>
  <si>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</si>
  <si>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</si>
  <si>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</si>
  <si>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</si>
  <si>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</si>
  <si>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</si>
  <si>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</si>
  <si>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</si>
  <si>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</si>
  <si>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</si>
  <si>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</si>
  <si>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</si>
  <si>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</si>
  <si>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</si>
  <si>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</si>
  <si>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</si>
  <si>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</si>
  <si>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</si>
  <si>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</si>
  <si>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</si>
  <si>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</si>
  <si>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</si>
  <si>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</si>
  <si>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</si>
  <si>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</si>
  <si>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</si>
  <si>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</si>
  <si>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Closed</t>
  </si>
  <si>
    <t>AAPL</t>
  </si>
  <si>
    <t>Open</t>
  </si>
  <si>
    <t>Yes</t>
  </si>
  <si>
    <t>NFLX</t>
  </si>
  <si>
    <t>VOO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</si>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</sst>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_(&quot;$&quot;* #,##0.00_);_(&quot;$&quot;* (#,##0.00);_(&quot;$&quot;* &quot;-&quot;??_);_(@_)"/>
    <numFmt numFmtId="166" formatCode="&quot;$&quot;#,##0"/>
    <numFmt numFmtId="167" formatCode="$#,##0.00"/>
    <numFmt numFmtId="168" formatCode="($#,##0.00);($#,##0.00)"/>
    <numFmt numFmtId="169" formatCode="&quot;$&quot;#,##0.00_);[Red](&quot;$&quot;#,##0.00)"/>
    <numFmt numFmtId="170" formatCode="m/d/yy;@"/>
  </numFmts>
  <fonts count="13" x14ac:knownFonts="1">
    <font>
      <color theme="1"/>
      <family val="2"/>
      <scheme val="minor"/>
      <sz val="11"/>
      <name val="Calibri"/>
    </font>
    <font>
      <color theme="1"/>
      <family val="2"/>
      <sz val="13"/>
      <name val="Helvetica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rgb="FF60605E"/>
      <family val="2"/>
      <sz val="10"/>
      <name val="Century Gothic"/>
    </font>
    <font>
      <b/>
      <color rgb="FF60605E"/>
      <family val="1"/>
      <sz val="10"/>
      <name val="Century Gothic"/>
    </font>
    <font>
      <color rgb="FF60605E"/>
      <family val="1"/>
      <sz val="10"/>
      <name val="Century Gothic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165" fontId="2" fillId="0" borderId="0" xfId="0" applyNumberFormat="1" applyFont="1"/>
    <xf numFmtId="166" fontId="2" fillId="0" borderId="0" xfId="0" applyNumberFormat="1" applyFont="1"/>
    <xf numFmtId="167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69" fontId="4" fillId="0" borderId="0" xfId="0" applyNumberFormat="1" applyFont="1"/>
    <xf numFmtId="170" fontId="4" fillId="0" borderId="0" xfId="0" applyNumberFormat="1" applyFont="1"/>
    <xf numFmtId="14" fontId="3" fillId="0" borderId="0" xfId="0" applyNumberFormat="1" applyFont="1"/>
    <xf numFmtId="9" fontId="4" fillId="0" borderId="0" xfId="0" applyNumberFormat="1" applyFont="1"/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5.xml"/><Relationship Id="rId12" Type="http://schemas.openxmlformats.org/officeDocument/2006/relationships/worksheet" Target="worksheets/sheet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3" displayName="Table3" ref="B2:C18" totalsRowShown="1" headerRowCount="0">
  <autoFilter ref="B2:C18">
    <filterColumn colId="0" hiddenButton="1"/>
    <filterColumn colId="1" hiddenButton="1"/>
  </autoFilter>
  <tableColumns count="2">
    <tableColumn id="1" name="Account Type"/>
    <tableColumn id="2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5" displayName="Table25" ref="B2:D5" totalsRowShown="1" headerRowCount="0">
  <autoFilter ref="B2:D5">
    <filterColumn colId="0" hiddenButton="1"/>
    <filterColumn colId="1" hiddenButton="1"/>
    <filterColumn colId="2" hiddenButton="1"/>
  </autoFilter>
  <tableColumns count="3">
    <tableColumn id="1" name="Account"/>
    <tableColumn id="2" name="Account Type2"/>
    <tableColumn id="3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94" displayName="Table94" ref="B2:P74" totalsRowShown="1" headerRowCount="0">
  <autoFilter ref="B2:P74">
    <filterColumn colId="0" hiddenButton="1"/>
    <filterColumn colId="1" hiddenButton="1"/>
  </autoFilter>
  <tableColumns count="2">
    <tableColumn id="1" name="Account"/>
    <tableColumn id="2" name="Account Typ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able36" displayName="Table36" ref="B2:C123" totalsRowShown="1" headerRowCount="0">
  <autoFilter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7"/>
  <sheetViews>
    <sheetView workbookViewId="0" zoomScale="100" zoomScaleNormal="100">
      <selection activeCell="K21" sqref="K21"/>
    </sheetView>
  </sheetViews>
  <sheetFormatPr defaultRowHeight="15" outlineLevelRow="0" outlineLevelCol="0" x14ac:dyDescent="0.2" defaultColWidth="8.83203125"/>
  <cols>
    <col min="1" max="1" width="4" customWidth="1"/>
    <col min="2" max="2" width="22" customWidth="1"/>
    <col min="3" max="3" width="18" customWidth="1"/>
  </cols>
  <sheetData>
    <row r="2" spans="2:3" x14ac:dyDescent="0.25">
      <c r="B2" t="s">
        <v>61</v>
      </c>
      <c r="C2" t="s">
        <v>62</v>
      </c>
    </row>
    <row r="3" spans="2:3" x14ac:dyDescent="0.25">
      <c r="B3" t="s">
        <v>63</v>
      </c>
      <c r="C3" s="20">
        <v>400000</v>
      </c>
    </row>
    <row r="4" spans="2:3" x14ac:dyDescent="0.25">
      <c r="B4" t="s">
        <v>64</v>
      </c>
      <c r="C4" s="21">
        <v>45139</v>
      </c>
    </row>
    <row r="5" spans="2:3" x14ac:dyDescent="0.25">
      <c r="B5" t="s">
        <v>65</v>
      </c>
      <c r="C5">
        <v>30</v>
      </c>
    </row>
    <row r="6" spans="2:3" x14ac:dyDescent="0.25">
      <c r="B6" t="s">
        <v>66</v>
      </c>
      <c r="C6" s="17">
        <v>0.06</v>
      </c>
    </row>
    <row r="7" spans="2:3" x14ac:dyDescent="0.25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I3" activePane="bottomRight" state="frozen"/>
      <selection pane="bottomRight" activeCell="M4" sqref="M4"/>
    </sheetView>
  </sheetViews>
  <sheetFormatPr defaultRowHeight="14" outlineLevelRow="0" outlineLevelCol="0" x14ac:dyDescent="0.2" defaultColWidth="10.83203125" customHeight="1"/>
  <cols>
    <col min="1" max="1" width="10.83203125" style="8" customWidth="1"/>
    <col min="2" max="2" width="19.6640625" style="8" customWidth="1"/>
    <col min="3" max="18" width="11.5" style="8" customWidth="1"/>
    <col min="19" max="16384" width="10.83203125" style="8" customWidth="1"/>
  </cols>
  <sheetData>
    <row r="1" spans="1:1" x14ac:dyDescent="0.25">
      <c r="A1" s="9" t="s">
        <v>28</v>
      </c>
    </row>
    <row r="2" spans="3:39" x14ac:dyDescent="0.25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2:18" x14ac:dyDescent="0.25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2:18" x14ac:dyDescent="0.25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</v>
      </c>
      <c r="J4" s="11">
        <f t="shared" si="1"/>
        <v>53606.767605350506</v>
      </c>
      <c r="K4" s="11">
        <f t="shared" si="1"/>
        <v>54142.83528140401</v>
      </c>
      <c r="L4" s="11">
        <f t="shared" si="1"/>
        <v>54684.263634218056</v>
      </c>
      <c r="M4" s="11">
        <f t="shared" si="1"/>
        <v>55231.10627056024</v>
      </c>
      <c r="N4" s="11">
        <f t="shared" si="1"/>
        <v>55783.41733326584</v>
      </c>
      <c r="O4" s="11">
        <f t="shared" si="1"/>
        <v>56341.2515065985</v>
      </c>
      <c r="P4" s="11">
        <f t="shared" si="1"/>
        <v>56904.66402166448</v>
      </c>
      <c r="Q4" s="11">
        <f t="shared" si="1"/>
        <v>57473.71066188112</v>
      </c>
      <c r="R4" s="11">
        <f t="shared" si="1"/>
        <v>58048.44776849994</v>
      </c>
    </row>
    <row r="5" spans="2:18" x14ac:dyDescent="0.25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112550.881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2:18" x14ac:dyDescent="0.25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2:18" x14ac:dyDescent="0.25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</v>
      </c>
      <c r="I7" s="11">
        <f t="shared" si="4"/>
        <v>265380.03765025</v>
      </c>
      <c r="J7" s="11">
        <f t="shared" si="4"/>
        <v>268033.8380267525</v>
      </c>
      <c r="K7" s="11">
        <f t="shared" si="4"/>
        <v>270714.1764070201</v>
      </c>
      <c r="L7" s="11">
        <f t="shared" si="4"/>
        <v>273421.3181710903</v>
      </c>
      <c r="M7" s="11">
        <f t="shared" si="4"/>
        <v>276155.5313528012</v>
      </c>
      <c r="N7" s="11">
        <f t="shared" si="4"/>
        <v>278917.0866663292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287368.5533094056</v>
      </c>
      <c r="R7" s="11">
        <f t="shared" si="4"/>
        <v>290242.2388424996</v>
      </c>
    </row>
    <row r="8" spans="2:18" x14ac:dyDescent="0.25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2:18" x14ac:dyDescent="0.25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hidden="1" spans="2:18" x14ac:dyDescent="0.25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hidden="1" spans="2:18" x14ac:dyDescent="0.25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hidden="1" spans="2:18" x14ac:dyDescent="0.25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hidden="1" spans="2:18" x14ac:dyDescent="0.25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hidden="1" spans="2:18" x14ac:dyDescent="0.25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31706.25753299246</v>
      </c>
      <c r="P14" s="14">
        <f t="shared" si="6"/>
        <v>32023.32010832237</v>
      </c>
      <c r="Q14" s="14"/>
      <c r="R14" s="14"/>
    </row>
    <row r="15" hidden="1" spans="2:18" x14ac:dyDescent="0.25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2:18" x14ac:dyDescent="0.25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</v>
      </c>
      <c r="H16" s="16">
        <f t="shared" si="9"/>
        <v>653730.42246</v>
      </c>
      <c r="I16" s="16">
        <f t="shared" si="9"/>
        <v>662861.2748332</v>
      </c>
      <c r="J16" s="16">
        <f t="shared" si="9"/>
        <v>672127.99217459</v>
      </c>
      <c r="K16" s="16">
        <f t="shared" si="9"/>
        <v>681534.0198271857</v>
      </c>
      <c r="L16" s="16">
        <f t="shared" si="9"/>
        <v>691082.9001882328</v>
      </c>
      <c r="M16" s="16">
        <f t="shared" si="9"/>
        <v>725778.2755577737</v>
      </c>
      <c r="N16" s="16">
        <f t="shared" si="9"/>
        <v>735623.8910720396</v>
      </c>
      <c r="O16" s="16">
        <f t="shared" si="9"/>
        <v>745623.5977242088</v>
      </c>
      <c r="P16" s="16">
        <f t="shared" si="9"/>
        <v>755781.3554751433</v>
      </c>
      <c r="Q16" s="16">
        <f t="shared" si="9"/>
        <v>766101.2364567979</v>
      </c>
      <c r="R16" s="16">
        <f t="shared" si="9"/>
        <v>776587.4282710761</v>
      </c>
    </row>
    <row r="17" hidden="1" spans="2:18" x14ac:dyDescent="0.25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ht="15" customHeight="1" spans="2:18" x14ac:dyDescent="0.25">
      <c r="B18" s="15" t="s">
        <v>42</v>
      </c>
      <c r="C18" s="17"/>
      <c r="D18" s="17">
        <f t="shared" ref="D18:R18" si="11">(D16-C16)/D16</f>
        <v>0.0137429264349232</v>
      </c>
      <c r="E18" s="17">
        <f t="shared" si="11"/>
        <v>0.013745375685674193</v>
      </c>
      <c r="F18" s="17">
        <f t="shared" si="11"/>
        <v>0.013749817177599577</v>
      </c>
      <c r="G18" s="17">
        <f t="shared" si="11"/>
        <v>0.013756231805582102</v>
      </c>
      <c r="H18" s="17">
        <f t="shared" si="11"/>
        <v>0.013764601050902726</v>
      </c>
      <c r="I18" s="17">
        <f t="shared" si="11"/>
        <v>0.013774906937349231</v>
      </c>
      <c r="J18" s="17">
        <f t="shared" si="11"/>
        <v>0.013787131988668726</v>
      </c>
      <c r="K18" s="17">
        <f t="shared" si="11"/>
        <v>0.013801259187297375</v>
      </c>
      <c r="L18" s="17">
        <f t="shared" si="11"/>
        <v>0.013817271934302301</v>
      </c>
      <c r="M18" s="17">
        <f t="shared" si="11"/>
        <v>0.04780437295794898</v>
      </c>
      <c r="N18" s="17">
        <f t="shared" si="11"/>
        <v>0.01338403446891555</v>
      </c>
      <c r="O18" s="17">
        <f t="shared" si="11"/>
        <v>0.013411199273588338</v>
      </c>
      <c r="P18" s="17">
        <f t="shared" si="11"/>
        <v>0.013440074536568177</v>
      </c>
      <c r="Q18" s="17">
        <f t="shared" si="11"/>
        <v>0.013470649165616622</v>
      </c>
      <c r="R18" s="17">
        <f t="shared" si="11"/>
        <v>0.013502912141680742</v>
      </c>
    </row>
    <row r="19" ht="15" customHeight="1" spans="2:18" x14ac:dyDescent="0.25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</v>
      </c>
      <c r="E19" s="17">
        <f t="shared" si="12"/>
        <v>0.3114705633921784</v>
      </c>
      <c r="F19" s="17">
        <f t="shared" si="12"/>
        <v>0.3068086342767655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0.2883747731349562</v>
      </c>
      <c r="K19" s="17">
        <f t="shared" si="12"/>
        <v>0.2838219406250668</v>
      </c>
      <c r="L19" s="17">
        <f t="shared" si="12"/>
        <v>0.2792922462206506</v>
      </c>
      <c r="M19" s="17">
        <f t="shared" si="12"/>
        <v>0.2498055824210063</v>
      </c>
      <c r="N19" s="17">
        <f t="shared" si="12"/>
        <v>0.24550553973758954</v>
      </c>
      <c r="O19" s="17">
        <f t="shared" si="12"/>
        <v>0.2412311022991112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ht="15" customHeight="1" spans="2:18" x14ac:dyDescent="0.25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0.4807710434536714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0.4358720769046638</v>
      </c>
      <c r="K20" s="17">
        <f t="shared" si="13"/>
        <v>0.4274085414307868</v>
      </c>
      <c r="L20" s="17">
        <f t="shared" si="13"/>
        <v>0.41910934645154824</v>
      </c>
      <c r="M20" s="17">
        <f t="shared" si="13"/>
        <v>0.4109713008893823</v>
      </c>
      <c r="N20" s="17">
        <f t="shared" si="13"/>
        <v>0.40299127562939424</v>
      </c>
      <c r="O20" s="17">
        <f t="shared" si="13"/>
        <v>0.3951662023162021</v>
      </c>
      <c r="P20" s="17">
        <f t="shared" si="13"/>
        <v>0.3874930721741399</v>
      </c>
      <c r="Q20" s="17">
        <f t="shared" si="13"/>
        <v>0.3799689348503702</v>
      </c>
      <c r="R20" s="17">
        <f t="shared" si="13"/>
        <v>0.3725908972804601</v>
      </c>
    </row>
    <row r="21" spans="2:2" x14ac:dyDescent="0.25">
      <c r="B21" s="15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D18"/>
  <sheetViews>
    <sheetView workbookViewId="0" zoomScale="100" zoomScaleNormal="100">
      <selection activeCell="C13" sqref="C13"/>
    </sheetView>
  </sheetViews>
  <sheetFormatPr defaultRowHeight="16" outlineLevelRow="0" outlineLevelCol="0" x14ac:dyDescent="0.2" customHeight="1"/>
  <cols>
    <col min="1" max="1" width="10.83203125" style="2" customWidth="1"/>
    <col min="2" max="3" width="14.6640625" style="2" customWidth="1"/>
    <col min="4" max="16384" width="10.83203125" style="2" customWidth="1"/>
  </cols>
  <sheetData>
    <row r="2" spans="2:4" x14ac:dyDescent="0.25">
      <c r="B2" s="3" t="s">
        <v>19</v>
      </c>
      <c r="C2" s="3" t="s">
        <v>20</v>
      </c>
      <c r="D2" s="4" t="s">
        <v>21</v>
      </c>
    </row>
    <row r="3" spans="2:4" x14ac:dyDescent="0.25">
      <c r="B3" s="5" t="s">
        <v>22</v>
      </c>
      <c r="C3" s="6" t="s">
        <v>2</v>
      </c>
      <c r="D3" s="2" t="s">
        <v>23</v>
      </c>
    </row>
    <row r="4" spans="2:4" x14ac:dyDescent="0.25">
      <c r="B4" s="5" t="s">
        <v>24</v>
      </c>
      <c r="C4" s="6" t="s">
        <v>7</v>
      </c>
      <c r="D4" s="2" t="s">
        <v>25</v>
      </c>
    </row>
    <row r="5" spans="2:4" x14ac:dyDescent="0.25">
      <c r="B5" s="5" t="s">
        <v>26</v>
      </c>
      <c r="C5" s="6" t="s">
        <v>15</v>
      </c>
      <c r="D5" s="2" t="s">
        <v>27</v>
      </c>
    </row>
    <row r="6" spans="2:3" x14ac:dyDescent="0.25">
      <c r="B6" s="5"/>
      <c r="C6" s="6"/>
    </row>
    <row r="7" spans="2:3" x14ac:dyDescent="0.25">
      <c r="B7" s="5"/>
      <c r="C7" s="6"/>
    </row>
    <row r="8" spans="2:3" x14ac:dyDescent="0.25">
      <c r="B8" s="5"/>
      <c r="C8" s="6"/>
    </row>
    <row r="9" spans="2:3" x14ac:dyDescent="0.25">
      <c r="B9" s="5"/>
      <c r="C9" s="6"/>
    </row>
    <row r="10" spans="2:3" x14ac:dyDescent="0.25">
      <c r="B10" s="5"/>
      <c r="C10" s="6"/>
    </row>
    <row r="11" spans="2:3" x14ac:dyDescent="0.25">
      <c r="B11" s="5"/>
      <c r="C11" s="6"/>
    </row>
    <row r="12" spans="2:3" x14ac:dyDescent="0.25">
      <c r="B12" s="5"/>
      <c r="C12" s="6"/>
    </row>
    <row r="13" spans="2:3" x14ac:dyDescent="0.25">
      <c r="B13" s="5"/>
      <c r="C13" s="6"/>
    </row>
    <row r="14" spans="2:3" x14ac:dyDescent="0.25">
      <c r="B14" s="5"/>
      <c r="C14" s="6"/>
    </row>
    <row r="15" spans="2:3" x14ac:dyDescent="0.25">
      <c r="B15" s="7"/>
      <c r="C15" s="6"/>
    </row>
    <row r="16" spans="2:3" x14ac:dyDescent="0.25">
      <c r="B16" s="7"/>
      <c r="C16" s="6"/>
    </row>
    <row r="17" spans="2:3" x14ac:dyDescent="0.25">
      <c r="B17" s="7"/>
      <c r="C17" s="6"/>
    </row>
    <row r="18" spans="2:3" x14ac:dyDescent="0.25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defaultColWidth="10.83203125" customHeight="1"/>
  <cols>
    <col min="1" max="2" width="10.83203125" style="2" customWidth="1"/>
    <col min="3" max="3" width="80.83203125" style="2" customWidth="1"/>
    <col min="4" max="16384" width="10.83203125" style="2" customWidth="1"/>
  </cols>
  <sheetData>
    <row r="2" ht="29" customHeight="1" spans="2:3" x14ac:dyDescent="0.25">
      <c r="B2" s="40" t="s">
        <v>82</v>
      </c>
      <c r="C2" s="40" t="s">
        <v>83</v>
      </c>
    </row>
    <row r="3" spans="2:3" x14ac:dyDescent="0.25">
      <c r="B3" s="41" t="s">
        <v>94</v>
      </c>
      <c r="C3" s="41" t="s">
        <v>99</v>
      </c>
    </row>
    <row r="4" spans="2:3" x14ac:dyDescent="0.25">
      <c r="B4" s="41" t="s">
        <v>100</v>
      </c>
      <c r="C4" s="41" t="s">
        <v>101</v>
      </c>
    </row>
    <row r="5" spans="2:3" x14ac:dyDescent="0.25">
      <c r="B5" s="41" t="s">
        <v>102</v>
      </c>
      <c r="C5" s="41" t="s">
        <v>103</v>
      </c>
    </row>
    <row r="6" spans="2:3" x14ac:dyDescent="0.25">
      <c r="B6" s="41" t="s">
        <v>104</v>
      </c>
      <c r="C6" s="6" t="s">
        <v>105</v>
      </c>
    </row>
    <row r="7" spans="2:3" x14ac:dyDescent="0.25">
      <c r="B7" s="41" t="s">
        <v>106</v>
      </c>
      <c r="C7" s="41" t="s">
        <v>107</v>
      </c>
    </row>
    <row r="8" spans="2:3" x14ac:dyDescent="0.25">
      <c r="B8" s="41" t="s">
        <v>108</v>
      </c>
      <c r="C8" s="41" t="s">
        <v>109</v>
      </c>
    </row>
    <row r="9" spans="2:3" x14ac:dyDescent="0.25">
      <c r="B9" s="41" t="s">
        <v>110</v>
      </c>
      <c r="C9" s="41" t="s">
        <v>111</v>
      </c>
    </row>
    <row r="10" spans="2:3" x14ac:dyDescent="0.25">
      <c r="B10" s="41" t="s">
        <v>112</v>
      </c>
      <c r="C10" s="42" t="s">
        <v>113</v>
      </c>
    </row>
    <row r="11" spans="2:3" x14ac:dyDescent="0.25">
      <c r="B11" s="41" t="s">
        <v>114</v>
      </c>
      <c r="C11" s="41" t="s">
        <v>115</v>
      </c>
    </row>
    <row r="12" spans="2:3" x14ac:dyDescent="0.25">
      <c r="B12" s="41" t="s">
        <v>116</v>
      </c>
      <c r="C12" s="41" t="s">
        <v>117</v>
      </c>
    </row>
    <row r="13" spans="2:3" x14ac:dyDescent="0.25">
      <c r="B13" s="41" t="s">
        <v>118</v>
      </c>
      <c r="C13" s="41" t="s">
        <v>119</v>
      </c>
    </row>
    <row r="14" spans="2:3" x14ac:dyDescent="0.25">
      <c r="B14" s="41" t="s">
        <v>120</v>
      </c>
      <c r="C14" s="41" t="s">
        <v>121</v>
      </c>
    </row>
    <row r="15" spans="2:3" x14ac:dyDescent="0.25">
      <c r="B15" s="41" t="s">
        <v>122</v>
      </c>
      <c r="C15" s="41" t="s">
        <v>123</v>
      </c>
    </row>
    <row r="16" spans="2:3" x14ac:dyDescent="0.25">
      <c r="B16" s="41" t="s">
        <v>124</v>
      </c>
      <c r="C16" s="41" t="s">
        <v>125</v>
      </c>
    </row>
    <row r="17" spans="2:3" x14ac:dyDescent="0.25">
      <c r="B17" s="41" t="s">
        <v>126</v>
      </c>
      <c r="C17" s="41" t="s">
        <v>127</v>
      </c>
    </row>
    <row r="18" spans="2:3" x14ac:dyDescent="0.25">
      <c r="B18" s="41" t="s">
        <v>126</v>
      </c>
      <c r="C18" s="41" t="s">
        <v>128</v>
      </c>
    </row>
    <row r="19" spans="2:3" x14ac:dyDescent="0.25">
      <c r="B19" s="41" t="s">
        <v>129</v>
      </c>
      <c r="C19" s="41" t="s">
        <v>130</v>
      </c>
    </row>
    <row r="20" spans="2:3" x14ac:dyDescent="0.25">
      <c r="B20" s="41" t="s">
        <v>131</v>
      </c>
      <c r="C20" s="41" t="s">
        <v>132</v>
      </c>
    </row>
    <row r="21" spans="2:3" x14ac:dyDescent="0.25">
      <c r="B21" s="41" t="s">
        <v>133</v>
      </c>
      <c r="C21" s="41" t="s">
        <v>134</v>
      </c>
    </row>
    <row r="22" spans="2:3" x14ac:dyDescent="0.25">
      <c r="B22" s="41" t="s">
        <v>135</v>
      </c>
      <c r="C22" s="41" t="s">
        <v>136</v>
      </c>
    </row>
    <row r="23" spans="2:3" x14ac:dyDescent="0.25">
      <c r="B23" s="41" t="s">
        <v>137</v>
      </c>
      <c r="C23" s="41" t="s">
        <v>138</v>
      </c>
    </row>
    <row r="24" spans="2:3" x14ac:dyDescent="0.25">
      <c r="B24" s="41" t="s">
        <v>139</v>
      </c>
      <c r="C24" s="41" t="s">
        <v>140</v>
      </c>
    </row>
    <row r="25" spans="2:3" x14ac:dyDescent="0.25">
      <c r="B25" s="41" t="s">
        <v>141</v>
      </c>
      <c r="C25" s="41" t="s">
        <v>142</v>
      </c>
    </row>
    <row r="26" spans="2:3" x14ac:dyDescent="0.25">
      <c r="B26" s="41" t="s">
        <v>143</v>
      </c>
      <c r="C26" s="41" t="s">
        <v>144</v>
      </c>
    </row>
    <row r="27" spans="2:3" x14ac:dyDescent="0.25">
      <c r="B27" s="41" t="s">
        <v>145</v>
      </c>
      <c r="C27" s="41" t="s">
        <v>146</v>
      </c>
    </row>
    <row r="28" spans="2:3" x14ac:dyDescent="0.25">
      <c r="B28" s="41" t="s">
        <v>147</v>
      </c>
      <c r="C28" s="41" t="s">
        <v>148</v>
      </c>
    </row>
    <row r="29" spans="2:3" x14ac:dyDescent="0.25">
      <c r="B29" s="41" t="s">
        <v>149</v>
      </c>
      <c r="C29" s="41" t="s">
        <v>150</v>
      </c>
    </row>
    <row r="30" spans="2:3" x14ac:dyDescent="0.25">
      <c r="B30" s="41" t="s">
        <v>151</v>
      </c>
      <c r="C30" s="41" t="s">
        <v>152</v>
      </c>
    </row>
    <row r="31" spans="2:3" x14ac:dyDescent="0.25">
      <c r="B31" s="41" t="s">
        <v>153</v>
      </c>
      <c r="C31" s="41" t="s">
        <v>154</v>
      </c>
    </row>
    <row r="32" spans="2:3" x14ac:dyDescent="0.25">
      <c r="B32" s="41" t="s">
        <v>155</v>
      </c>
      <c r="C32" s="41" t="s">
        <v>156</v>
      </c>
    </row>
    <row r="33" spans="2:3" x14ac:dyDescent="0.25">
      <c r="B33" s="41" t="s">
        <v>157</v>
      </c>
      <c r="C33" s="41" t="s">
        <v>158</v>
      </c>
    </row>
    <row r="34" spans="2:3" x14ac:dyDescent="0.25">
      <c r="B34" s="41" t="s">
        <v>159</v>
      </c>
      <c r="C34" s="41" t="s">
        <v>160</v>
      </c>
    </row>
    <row r="35" spans="2:3" x14ac:dyDescent="0.25">
      <c r="B35" s="41" t="s">
        <v>161</v>
      </c>
      <c r="C35" s="41" t="s">
        <v>162</v>
      </c>
    </row>
    <row r="36" spans="2:3" x14ac:dyDescent="0.25">
      <c r="B36" s="41" t="s">
        <v>163</v>
      </c>
      <c r="C36" s="41" t="s">
        <v>164</v>
      </c>
    </row>
    <row r="37" spans="2:3" x14ac:dyDescent="0.25">
      <c r="B37" s="41" t="s">
        <v>165</v>
      </c>
      <c r="C37" s="41" t="s">
        <v>166</v>
      </c>
    </row>
    <row r="38" spans="2:3" x14ac:dyDescent="0.25">
      <c r="B38" s="41" t="s">
        <v>167</v>
      </c>
      <c r="C38" s="41" t="s">
        <v>168</v>
      </c>
    </row>
    <row r="39" spans="2:3" x14ac:dyDescent="0.25">
      <c r="B39" s="41" t="s">
        <v>169</v>
      </c>
      <c r="C39" s="41" t="s">
        <v>170</v>
      </c>
    </row>
    <row r="40" spans="2:3" x14ac:dyDescent="0.25">
      <c r="B40" s="41" t="s">
        <v>171</v>
      </c>
      <c r="C40" s="41" t="s">
        <v>172</v>
      </c>
    </row>
    <row r="41" spans="2:3" x14ac:dyDescent="0.25">
      <c r="B41" s="41" t="s">
        <v>173</v>
      </c>
      <c r="C41" s="41" t="s">
        <v>174</v>
      </c>
    </row>
    <row r="42" spans="2:3" x14ac:dyDescent="0.25">
      <c r="B42" s="41" t="s">
        <v>175</v>
      </c>
      <c r="C42" s="41" t="s">
        <v>176</v>
      </c>
    </row>
    <row r="43" spans="2:3" x14ac:dyDescent="0.25">
      <c r="B43" s="41" t="s">
        <v>177</v>
      </c>
      <c r="C43" s="41" t="s">
        <v>178</v>
      </c>
    </row>
    <row r="44" spans="2:3" x14ac:dyDescent="0.25">
      <c r="B44" s="41" t="s">
        <v>179</v>
      </c>
      <c r="C44" s="41" t="s">
        <v>180</v>
      </c>
    </row>
    <row r="45" spans="2:3" x14ac:dyDescent="0.25">
      <c r="B45" s="41" t="s">
        <v>181</v>
      </c>
      <c r="C45" s="41" t="s">
        <v>182</v>
      </c>
    </row>
    <row r="46" spans="2:3" x14ac:dyDescent="0.25">
      <c r="B46" s="41" t="s">
        <v>183</v>
      </c>
      <c r="C46" s="41" t="s">
        <v>184</v>
      </c>
    </row>
    <row r="47" spans="2:3" x14ac:dyDescent="0.25">
      <c r="B47" s="41" t="s">
        <v>185</v>
      </c>
      <c r="C47" s="41" t="s">
        <v>186</v>
      </c>
    </row>
    <row r="48" spans="2:3" x14ac:dyDescent="0.25">
      <c r="B48" s="41" t="s">
        <v>187</v>
      </c>
      <c r="C48" s="41" t="s">
        <v>188</v>
      </c>
    </row>
    <row r="49" spans="2:3" x14ac:dyDescent="0.25">
      <c r="B49" s="41" t="s">
        <v>189</v>
      </c>
      <c r="C49" s="41" t="s">
        <v>190</v>
      </c>
    </row>
    <row r="50" spans="2:3" x14ac:dyDescent="0.25">
      <c r="B50" s="41" t="s">
        <v>191</v>
      </c>
      <c r="C50" s="41" t="s">
        <v>192</v>
      </c>
    </row>
    <row r="51" spans="2:3" x14ac:dyDescent="0.25">
      <c r="B51" s="41" t="s">
        <v>193</v>
      </c>
      <c r="C51" s="41" t="s">
        <v>194</v>
      </c>
    </row>
    <row r="52" spans="2:3" x14ac:dyDescent="0.25">
      <c r="B52" s="41" t="s">
        <v>193</v>
      </c>
      <c r="C52" s="41" t="s">
        <v>195</v>
      </c>
    </row>
    <row r="53" spans="2:3" x14ac:dyDescent="0.25">
      <c r="B53" s="41" t="s">
        <v>193</v>
      </c>
      <c r="C53" s="43" t="s">
        <v>195</v>
      </c>
    </row>
    <row r="54" spans="2:3" x14ac:dyDescent="0.25">
      <c r="B54" s="41" t="s">
        <v>196</v>
      </c>
      <c r="C54" s="41" t="s">
        <v>197</v>
      </c>
    </row>
    <row r="55" spans="2:3" x14ac:dyDescent="0.25">
      <c r="B55" s="41" t="s">
        <v>198</v>
      </c>
      <c r="C55" s="41" t="s">
        <v>199</v>
      </c>
    </row>
    <row r="56" spans="2:3" x14ac:dyDescent="0.25">
      <c r="B56" s="41" t="s">
        <v>200</v>
      </c>
      <c r="C56" s="41" t="s">
        <v>201</v>
      </c>
    </row>
    <row r="57" spans="2:3" x14ac:dyDescent="0.25">
      <c r="B57" s="41" t="s">
        <v>202</v>
      </c>
      <c r="C57" s="41" t="s">
        <v>203</v>
      </c>
    </row>
    <row r="58" spans="2:3" x14ac:dyDescent="0.25">
      <c r="B58" s="41" t="s">
        <v>204</v>
      </c>
      <c r="C58" s="41" t="s">
        <v>205</v>
      </c>
    </row>
    <row r="59" spans="2:3" x14ac:dyDescent="0.25">
      <c r="B59" s="41" t="s">
        <v>206</v>
      </c>
      <c r="C59" s="41" t="s">
        <v>207</v>
      </c>
    </row>
    <row r="60" spans="2:3" x14ac:dyDescent="0.25">
      <c r="B60" s="41" t="s">
        <v>208</v>
      </c>
      <c r="C60" s="41" t="s">
        <v>209</v>
      </c>
    </row>
    <row r="61" spans="2:3" x14ac:dyDescent="0.25">
      <c r="B61" s="41" t="s">
        <v>210</v>
      </c>
      <c r="C61" s="41" t="s">
        <v>211</v>
      </c>
    </row>
    <row r="62" spans="2:3" x14ac:dyDescent="0.25">
      <c r="B62" s="41" t="s">
        <v>212</v>
      </c>
      <c r="C62" s="41" t="s">
        <v>213</v>
      </c>
    </row>
    <row r="63" spans="2:3" x14ac:dyDescent="0.25">
      <c r="B63" s="41" t="s">
        <v>214</v>
      </c>
      <c r="C63" s="41" t="s">
        <v>215</v>
      </c>
    </row>
    <row r="64" spans="2:3" x14ac:dyDescent="0.25">
      <c r="B64" s="41" t="s">
        <v>216</v>
      </c>
      <c r="C64" s="41" t="s">
        <v>217</v>
      </c>
    </row>
    <row r="65" spans="2:3" x14ac:dyDescent="0.25">
      <c r="B65" s="41" t="s">
        <v>218</v>
      </c>
      <c r="C65" s="41" t="s">
        <v>219</v>
      </c>
    </row>
    <row r="66" spans="2:3" x14ac:dyDescent="0.25">
      <c r="B66" s="41" t="s">
        <v>220</v>
      </c>
      <c r="C66" s="41" t="s">
        <v>221</v>
      </c>
    </row>
    <row r="67" spans="2:3" x14ac:dyDescent="0.25">
      <c r="B67" s="41" t="s">
        <v>222</v>
      </c>
      <c r="C67" s="41" t="s">
        <v>223</v>
      </c>
    </row>
    <row r="68" spans="2:3" x14ac:dyDescent="0.25">
      <c r="B68" s="41" t="s">
        <v>224</v>
      </c>
      <c r="C68" s="41" t="s">
        <v>225</v>
      </c>
    </row>
    <row r="69" spans="2:3" x14ac:dyDescent="0.25">
      <c r="B69" s="41" t="s">
        <v>226</v>
      </c>
      <c r="C69" s="41" t="s">
        <v>227</v>
      </c>
    </row>
    <row r="70" spans="2:3" x14ac:dyDescent="0.25">
      <c r="B70" s="41" t="s">
        <v>228</v>
      </c>
      <c r="C70" s="41" t="s">
        <v>184</v>
      </c>
    </row>
    <row r="71" spans="2:3" x14ac:dyDescent="0.25">
      <c r="B71" s="41" t="s">
        <v>229</v>
      </c>
      <c r="C71" s="41" t="s">
        <v>230</v>
      </c>
    </row>
    <row r="72" spans="2:3" x14ac:dyDescent="0.25">
      <c r="B72" s="41" t="s">
        <v>231</v>
      </c>
      <c r="C72" s="41" t="s">
        <v>232</v>
      </c>
    </row>
    <row r="73" spans="2:3" x14ac:dyDescent="0.25">
      <c r="B73" s="41" t="s">
        <v>233</v>
      </c>
      <c r="C73" s="41" t="s">
        <v>234</v>
      </c>
    </row>
    <row r="74" spans="2:3" x14ac:dyDescent="0.25">
      <c r="B74" s="41" t="s">
        <v>235</v>
      </c>
      <c r="C74" s="41" t="s">
        <v>236</v>
      </c>
    </row>
    <row r="75" spans="2:3" x14ac:dyDescent="0.25">
      <c r="B75" s="41" t="s">
        <v>237</v>
      </c>
      <c r="C75" s="41" t="s">
        <v>238</v>
      </c>
    </row>
    <row r="76" spans="2:3" x14ac:dyDescent="0.25">
      <c r="B76" s="41" t="s">
        <v>239</v>
      </c>
      <c r="C76" s="41" t="s">
        <v>240</v>
      </c>
    </row>
    <row r="77" spans="2:3" x14ac:dyDescent="0.25">
      <c r="B77" s="41" t="s">
        <v>97</v>
      </c>
      <c r="C77" s="41" t="s">
        <v>241</v>
      </c>
    </row>
    <row r="78" spans="2:3" x14ac:dyDescent="0.25">
      <c r="B78" s="41" t="s">
        <v>242</v>
      </c>
      <c r="C78" s="41" t="s">
        <v>243</v>
      </c>
    </row>
    <row r="79" spans="2:3" x14ac:dyDescent="0.25">
      <c r="B79" s="41" t="s">
        <v>242</v>
      </c>
      <c r="C79" s="41" t="s">
        <v>244</v>
      </c>
    </row>
    <row r="80" spans="2:3" x14ac:dyDescent="0.25">
      <c r="B80" s="41" t="s">
        <v>245</v>
      </c>
      <c r="C80" s="41" t="s">
        <v>246</v>
      </c>
    </row>
    <row r="81" spans="2:3" x14ac:dyDescent="0.25">
      <c r="B81" s="41" t="s">
        <v>247</v>
      </c>
      <c r="C81" s="41" t="s">
        <v>248</v>
      </c>
    </row>
    <row r="82" spans="2:3" x14ac:dyDescent="0.25">
      <c r="B82" s="41" t="s">
        <v>249</v>
      </c>
      <c r="C82" s="41" t="s">
        <v>250</v>
      </c>
    </row>
    <row r="83" spans="2:3" x14ac:dyDescent="0.25">
      <c r="B83" s="41" t="s">
        <v>251</v>
      </c>
      <c r="C83" s="41" t="s">
        <v>252</v>
      </c>
    </row>
    <row r="84" spans="2:3" x14ac:dyDescent="0.25">
      <c r="B84" s="41" t="s">
        <v>253</v>
      </c>
      <c r="C84" s="41" t="s">
        <v>254</v>
      </c>
    </row>
    <row r="85" spans="2:3" x14ac:dyDescent="0.25">
      <c r="B85" s="41" t="s">
        <v>255</v>
      </c>
      <c r="C85" s="41" t="s">
        <v>256</v>
      </c>
    </row>
    <row r="86" spans="2:3" x14ac:dyDescent="0.25">
      <c r="B86" s="41" t="s">
        <v>257</v>
      </c>
      <c r="C86" s="41" t="s">
        <v>258</v>
      </c>
    </row>
    <row r="87" spans="2:3" x14ac:dyDescent="0.25">
      <c r="B87" s="41" t="s">
        <v>259</v>
      </c>
      <c r="C87" s="41" t="s">
        <v>260</v>
      </c>
    </row>
    <row r="88" spans="2:3" x14ac:dyDescent="0.25">
      <c r="B88" s="41" t="s">
        <v>261</v>
      </c>
      <c r="C88" s="41" t="s">
        <v>262</v>
      </c>
    </row>
    <row r="89" spans="2:3" x14ac:dyDescent="0.25">
      <c r="B89" s="41" t="s">
        <v>263</v>
      </c>
      <c r="C89" s="41" t="s">
        <v>264</v>
      </c>
    </row>
    <row r="90" spans="2:3" x14ac:dyDescent="0.25">
      <c r="B90" s="41" t="s">
        <v>265</v>
      </c>
      <c r="C90" s="41" t="s">
        <v>266</v>
      </c>
    </row>
    <row r="91" spans="2:3" x14ac:dyDescent="0.25">
      <c r="B91" s="41" t="s">
        <v>267</v>
      </c>
      <c r="C91" s="41" t="s">
        <v>268</v>
      </c>
    </row>
    <row r="92" spans="2:3" x14ac:dyDescent="0.25">
      <c r="B92" s="41" t="s">
        <v>269</v>
      </c>
      <c r="C92" s="41" t="s">
        <v>270</v>
      </c>
    </row>
    <row r="93" spans="2:3" x14ac:dyDescent="0.25">
      <c r="B93" s="41" t="s">
        <v>271</v>
      </c>
      <c r="C93" s="41" t="s">
        <v>272</v>
      </c>
    </row>
    <row r="94" spans="2:3" x14ac:dyDescent="0.25">
      <c r="B94" s="41" t="s">
        <v>273</v>
      </c>
      <c r="C94" s="41" t="s">
        <v>274</v>
      </c>
    </row>
    <row r="95" spans="2:3" x14ac:dyDescent="0.25">
      <c r="B95" s="41" t="s">
        <v>275</v>
      </c>
      <c r="C95" s="41" t="s">
        <v>276</v>
      </c>
    </row>
    <row r="96" spans="2:3" x14ac:dyDescent="0.25">
      <c r="B96" s="41" t="s">
        <v>277</v>
      </c>
      <c r="C96" s="41" t="s">
        <v>278</v>
      </c>
    </row>
    <row r="97" spans="2:3" x14ac:dyDescent="0.25">
      <c r="B97" s="41" t="s">
        <v>279</v>
      </c>
      <c r="C97" s="41" t="s">
        <v>280</v>
      </c>
    </row>
    <row r="98" spans="2:3" x14ac:dyDescent="0.25">
      <c r="B98" s="41" t="s">
        <v>281</v>
      </c>
      <c r="C98" s="41" t="s">
        <v>282</v>
      </c>
    </row>
    <row r="99" spans="2:3" x14ac:dyDescent="0.25">
      <c r="B99" s="41" t="s">
        <v>283</v>
      </c>
      <c r="C99" s="41" t="s">
        <v>284</v>
      </c>
    </row>
    <row r="100" spans="2:3" x14ac:dyDescent="0.25">
      <c r="B100" s="41" t="s">
        <v>285</v>
      </c>
      <c r="C100" s="41" t="s">
        <v>286</v>
      </c>
    </row>
    <row r="101" spans="2:3" x14ac:dyDescent="0.25">
      <c r="B101" s="41" t="s">
        <v>287</v>
      </c>
      <c r="C101" s="41" t="s">
        <v>288</v>
      </c>
    </row>
    <row r="102" spans="2:3" x14ac:dyDescent="0.25">
      <c r="B102" s="41" t="s">
        <v>289</v>
      </c>
      <c r="C102" s="41" t="s">
        <v>290</v>
      </c>
    </row>
    <row r="103" spans="2:3" x14ac:dyDescent="0.25">
      <c r="B103" s="41" t="s">
        <v>291</v>
      </c>
      <c r="C103" s="41" t="s">
        <v>292</v>
      </c>
    </row>
    <row r="104" spans="2:3" x14ac:dyDescent="0.25">
      <c r="B104" s="41" t="s">
        <v>293</v>
      </c>
      <c r="C104" s="41" t="s">
        <v>294</v>
      </c>
    </row>
    <row r="105" spans="2:3" x14ac:dyDescent="0.25">
      <c r="B105" s="41" t="s">
        <v>295</v>
      </c>
      <c r="C105" s="41" t="s">
        <v>296</v>
      </c>
    </row>
    <row r="106" spans="2:3" x14ac:dyDescent="0.25">
      <c r="B106" s="41" t="s">
        <v>297</v>
      </c>
      <c r="C106" s="41" t="s">
        <v>298</v>
      </c>
    </row>
    <row r="107" spans="2:3" x14ac:dyDescent="0.25">
      <c r="B107" s="41" t="s">
        <v>299</v>
      </c>
      <c r="C107" s="41" t="s">
        <v>300</v>
      </c>
    </row>
    <row r="108" spans="2:3" x14ac:dyDescent="0.25">
      <c r="B108" s="41" t="s">
        <v>301</v>
      </c>
      <c r="C108" s="41" t="s">
        <v>302</v>
      </c>
    </row>
    <row r="109" spans="2:3" x14ac:dyDescent="0.25">
      <c r="B109" s="41" t="s">
        <v>303</v>
      </c>
      <c r="C109" s="41" t="s">
        <v>304</v>
      </c>
    </row>
    <row r="110" spans="2:3" x14ac:dyDescent="0.25">
      <c r="B110" s="41" t="s">
        <v>305</v>
      </c>
      <c r="C110" s="41" t="s">
        <v>306</v>
      </c>
    </row>
    <row r="111" spans="2:3" x14ac:dyDescent="0.25">
      <c r="B111" s="41" t="s">
        <v>307</v>
      </c>
      <c r="C111" s="41" t="s">
        <v>308</v>
      </c>
    </row>
    <row r="112" spans="2:3" x14ac:dyDescent="0.25">
      <c r="B112" s="41" t="s">
        <v>309</v>
      </c>
      <c r="C112" s="41" t="s">
        <v>310</v>
      </c>
    </row>
    <row r="113" spans="2:3" x14ac:dyDescent="0.25">
      <c r="B113" s="41" t="s">
        <v>98</v>
      </c>
      <c r="C113" s="41" t="s">
        <v>311</v>
      </c>
    </row>
    <row r="114" spans="2:3" x14ac:dyDescent="0.25">
      <c r="B114" s="41" t="s">
        <v>312</v>
      </c>
      <c r="C114" s="41" t="s">
        <v>313</v>
      </c>
    </row>
    <row r="115" spans="2:3" x14ac:dyDescent="0.25">
      <c r="B115" s="41" t="s">
        <v>314</v>
      </c>
      <c r="C115" s="41" t="s">
        <v>315</v>
      </c>
    </row>
    <row r="116" spans="2:3" x14ac:dyDescent="0.25">
      <c r="B116" s="41" t="s">
        <v>316</v>
      </c>
      <c r="C116" s="41" t="s">
        <v>317</v>
      </c>
    </row>
    <row r="117" spans="2:3" x14ac:dyDescent="0.25">
      <c r="B117" s="41" t="s">
        <v>318</v>
      </c>
      <c r="C117" s="41" t="s">
        <v>319</v>
      </c>
    </row>
    <row r="118" spans="2:3" x14ac:dyDescent="0.25">
      <c r="B118" s="41" t="s">
        <v>320</v>
      </c>
      <c r="C118" s="41" t="s">
        <v>321</v>
      </c>
    </row>
    <row r="119" spans="2:3" x14ac:dyDescent="0.25">
      <c r="B119" s="41" t="s">
        <v>322</v>
      </c>
      <c r="C119" s="41" t="s">
        <v>323</v>
      </c>
    </row>
    <row r="120" spans="2:3" x14ac:dyDescent="0.25">
      <c r="B120" s="41" t="s">
        <v>324</v>
      </c>
      <c r="C120" s="41" t="s">
        <v>325</v>
      </c>
    </row>
    <row r="121" spans="2:3" x14ac:dyDescent="0.25">
      <c r="B121" s="41" t="s">
        <v>326</v>
      </c>
      <c r="C121" s="41" t="s">
        <v>327</v>
      </c>
    </row>
    <row r="122" spans="2:3" x14ac:dyDescent="0.25">
      <c r="B122" s="41" t="s">
        <v>328</v>
      </c>
      <c r="C122" s="41" t="s">
        <v>329</v>
      </c>
    </row>
    <row r="123" spans="2:3" x14ac:dyDescent="0.25">
      <c r="B123" s="44" t="s">
        <v>330</v>
      </c>
      <c r="C123" s="44" t="s">
        <v>331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1:EY8"/>
  <sheetViews>
    <sheetView workbookViewId="0" zoomScale="100" zoomScaleNormal="100">
      <selection activeCell="F4" sqref="F4"/>
    </sheetView>
  </sheetViews>
  <sheetFormatPr defaultRowHeight="15" outlineLevelRow="0" outlineLevelCol="0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5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5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5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>G3+G3*(RAND()*(0.15--0.15)+-0.15)/12+$F3</f>
        <v>20486.873770461123</v>
      </c>
      <c r="I3" s="28">
        <f t="shared" ref="I3:AV3" si="0">H3+H3*(RAND()*(0.15--0.15)+-0.15)/12+$F3</f>
        <v>20915.70799215657</v>
      </c>
      <c r="J3" s="28">
        <f t="shared" si="0"/>
        <v>21488.2123888034</v>
      </c>
      <c r="K3" s="28">
        <f t="shared" si="0"/>
        <v>21895.76615154928</v>
      </c>
      <c r="L3" s="28">
        <f t="shared" si="0"/>
        <v>22005.88385209578</v>
      </c>
      <c r="M3" s="28">
        <f t="shared" si="0"/>
        <v>22284.7611861071</v>
      </c>
      <c r="N3" s="28">
        <f t="shared" si="0"/>
        <v>22745.763234082526</v>
      </c>
      <c r="O3" s="28">
        <f t="shared" si="0"/>
        <v>23246.96486274665</v>
      </c>
      <c r="P3" s="28">
        <f t="shared" si="0"/>
        <v>23312.67050829929</v>
      </c>
      <c r="Q3" s="28">
        <f t="shared" si="0"/>
        <v>23464.570978971675</v>
      </c>
      <c r="R3" s="28">
        <f t="shared" si="0"/>
        <v>23710.772491795356</v>
      </c>
      <c r="S3" s="28">
        <f t="shared" si="0"/>
        <v>23888.32380445836</v>
      </c>
      <c r="T3" s="28">
        <f t="shared" si="0"/>
        <v>24007.96087142405</v>
      </c>
      <c r="U3" s="28">
        <f t="shared" si="0"/>
        <v>24572.963822847454</v>
      </c>
      <c r="V3" s="28">
        <f t="shared" si="0"/>
        <v>24990.251776743935</v>
      </c>
      <c r="W3" s="28">
        <f t="shared" si="0"/>
        <v>25487.14349588361</v>
      </c>
      <c r="X3" s="28">
        <f t="shared" si="0"/>
        <v>26036.27266488244</v>
      </c>
      <c r="Y3" s="28">
        <f t="shared" si="0"/>
        <v>26666.493846345038</v>
      </c>
      <c r="Z3" s="28">
        <f t="shared" si="0"/>
        <v>26783.330954144585</v>
      </c>
      <c r="AA3" s="28">
        <f t="shared" si="0"/>
        <v>27284.067150867202</v>
      </c>
      <c r="AB3" s="28">
        <f t="shared" si="0"/>
        <v>27828.030309522055</v>
      </c>
      <c r="AC3" s="28">
        <f t="shared" si="0"/>
        <v>28172.62710998873</v>
      </c>
      <c r="AD3" s="28">
        <f t="shared" si="0"/>
        <v>28523.449886183305</v>
      </c>
      <c r="AE3" s="28">
        <f t="shared" si="0"/>
        <v>28965.70806799772</v>
      </c>
      <c r="AF3" s="28">
        <f t="shared" si="0"/>
        <v>29270.35135640205</v>
      </c>
      <c r="AG3" s="28">
        <f t="shared" si="0"/>
        <v>29927.128668486013</v>
      </c>
      <c r="AH3" s="28">
        <f t="shared" si="0"/>
        <v>30166.76250463866</v>
      </c>
      <c r="AI3" s="28">
        <f t="shared" si="0"/>
        <v>30707.902183520673</v>
      </c>
      <c r="AJ3" s="28">
        <f t="shared" si="0"/>
        <v>31189.743531213844</v>
      </c>
      <c r="AK3" s="28">
        <f t="shared" si="0"/>
        <v>31290.452452057256</v>
      </c>
      <c r="AL3" s="28">
        <f t="shared" si="0"/>
        <v>31936.204955495374</v>
      </c>
      <c r="AM3" s="28">
        <f t="shared" si="0"/>
        <v>32511.079996624514</v>
      </c>
      <c r="AN3" s="28">
        <f t="shared" si="0"/>
        <v>32760.861952969015</v>
      </c>
      <c r="AO3" s="28">
        <f t="shared" si="0"/>
        <v>33191.35815524244</v>
      </c>
      <c r="AP3" s="28">
        <f t="shared" si="0"/>
        <v>33776.79476987323</v>
      </c>
      <c r="AQ3" s="28">
        <f t="shared" si="0"/>
        <v>34290.487103455285</v>
      </c>
      <c r="AR3" s="28">
        <f t="shared" si="0"/>
        <v>34334.42598941302</v>
      </c>
      <c r="AS3" s="28">
        <f t="shared" si="0"/>
        <v>34401.09561618895</v>
      </c>
      <c r="AT3" s="28">
        <f t="shared" si="0"/>
        <v>34438.96828431897</v>
      </c>
      <c r="AU3" s="28">
        <f t="shared" si="0"/>
        <v>34679.62216466414</v>
      </c>
      <c r="AV3" s="28">
        <f t="shared" si="0"/>
        <v>35046.137964850655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5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si="1">G4+G4*(RAND()*(0.15--0.15)+-0.15)/12+$F4</f>
        <v>15214.445935533251</v>
      </c>
      <c r="I4" s="28">
        <f t="shared" si="1"/>
        <v>15321.841756687858</v>
      </c>
      <c r="J4" s="28">
        <f t="shared" si="1"/>
        <v>15537.354686462086</v>
      </c>
      <c r="K4" s="28">
        <f t="shared" si="1"/>
        <v>15508.86259246847</v>
      </c>
      <c r="L4" s="28">
        <f t="shared" si="1"/>
        <v>15630.92672938401</v>
      </c>
      <c r="M4" s="28">
        <f t="shared" si="1"/>
        <v>15930.127010894303</v>
      </c>
      <c r="N4" s="28">
        <f t="shared" si="1"/>
        <v>16157.753886284618</v>
      </c>
      <c r="O4" s="28">
        <f t="shared" si="1"/>
        <v>16155.012104048103</v>
      </c>
      <c r="P4" s="28">
        <f t="shared" si="1"/>
        <v>16158.730401344868</v>
      </c>
      <c r="Q4" s="28">
        <f t="shared" si="1"/>
        <v>16166.200812149178</v>
      </c>
      <c r="R4" s="28">
        <f t="shared" si="1"/>
        <v>16328.846676461044</v>
      </c>
      <c r="S4" s="28">
        <f t="shared" si="1"/>
        <v>16557.64566386278</v>
      </c>
      <c r="T4" s="28">
        <f t="shared" si="1"/>
        <v>16516.678486333505</v>
      </c>
      <c r="U4" s="28">
        <f t="shared" si="1"/>
        <v>16643.374872270368</v>
      </c>
      <c r="V4" s="28">
        <f t="shared" si="1"/>
        <v>16776.784149777195</v>
      </c>
      <c r="W4" s="28">
        <f t="shared" si="1"/>
        <v>16928.18625134452</v>
      </c>
      <c r="X4" s="28">
        <f t="shared" si="1"/>
        <v>17036.879290600948</v>
      </c>
      <c r="Y4" s="28">
        <f t="shared" si="1"/>
        <v>16975.021199453287</v>
      </c>
      <c r="Z4" s="28">
        <f t="shared" si="1"/>
        <v>16969.672332646</v>
      </c>
      <c r="AA4" s="28">
        <f t="shared" si="1"/>
        <v>17296.389221781657</v>
      </c>
      <c r="AB4" s="28">
        <f t="shared" si="1"/>
        <v>17579.572143918933</v>
      </c>
      <c r="AC4" s="28">
        <f t="shared" si="1"/>
        <v>17824.765175095654</v>
      </c>
      <c r="AD4" s="28">
        <f t="shared" si="1"/>
        <v>18069.292924753405</v>
      </c>
      <c r="AE4" s="28">
        <f t="shared" si="1"/>
        <v>18271.249713131034</v>
      </c>
      <c r="AF4" s="28">
        <f t="shared" si="1"/>
        <v>18588.728464923868</v>
      </c>
      <c r="AG4" s="28">
        <f t="shared" si="1"/>
        <v>18508.291946323574</v>
      </c>
      <c r="AH4" s="28">
        <f t="shared" si="1"/>
        <v>18705.401989091308</v>
      </c>
      <c r="AI4" s="28">
        <f t="shared" si="1"/>
        <v>18822.993844062625</v>
      </c>
      <c r="AJ4" s="28">
        <f t="shared" si="1"/>
        <v>18928.957190071178</v>
      </c>
      <c r="AK4" s="28">
        <f t="shared" si="1"/>
        <v>19284.830399725488</v>
      </c>
      <c r="AL4" s="28">
        <f t="shared" si="1"/>
        <v>19437.73301029324</v>
      </c>
      <c r="AM4" s="28">
        <f t="shared" si="1"/>
        <v>19555.40197583713</v>
      </c>
      <c r="AN4" s="28">
        <f t="shared" si="1"/>
        <v>19651.18217501988</v>
      </c>
      <c r="AO4" s="28">
        <f t="shared" si="1"/>
        <v>19984.071860927754</v>
      </c>
      <c r="AP4" s="28">
        <f t="shared" si="1"/>
        <v>20191.86954108193</v>
      </c>
      <c r="AQ4" s="28">
        <f t="shared" si="1"/>
        <v>20209.34492460225</v>
      </c>
      <c r="AR4" s="28">
        <f t="shared" si="1"/>
        <v>20342.87238136958</v>
      </c>
      <c r="AS4" s="28">
        <f t="shared" si="1"/>
        <v>20725.9173149956</v>
      </c>
      <c r="AT4" s="28">
        <f t="shared" si="1"/>
        <v>20842.87395391571</v>
      </c>
      <c r="AU4" s="28">
        <f t="shared" si="1"/>
        <v>21019.78410284237</v>
      </c>
      <c r="AV4" s="28">
        <f t="shared" si="1"/>
        <v>21043.7814561461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5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si="2">G5+G5*(RAND()*(0.15--0.15)+-0.15)/12+$F5</f>
        <v>10211.520229605308</v>
      </c>
      <c r="I5" s="28">
        <f t="shared" si="2"/>
        <v>10403.398388035937</v>
      </c>
      <c r="J5" s="28">
        <f t="shared" si="2"/>
        <v>10458.585307929745</v>
      </c>
      <c r="K5" s="28">
        <f t="shared" si="2"/>
        <v>10720.181589566699</v>
      </c>
      <c r="L5" s="28">
        <f t="shared" si="2"/>
        <v>10963.353825471793</v>
      </c>
      <c r="M5" s="28">
        <f t="shared" si="2"/>
        <v>11101.556576251094</v>
      </c>
      <c r="N5" s="28">
        <f t="shared" si="2"/>
        <v>11329.406840114634</v>
      </c>
      <c r="O5" s="28">
        <f t="shared" si="2"/>
        <v>11536.679546874166</v>
      </c>
      <c r="P5" s="28">
        <f t="shared" si="2"/>
        <v>11602.432652397043</v>
      </c>
      <c r="Q5" s="28">
        <f t="shared" si="2"/>
        <v>11845.152602917706</v>
      </c>
      <c r="R5" s="28">
        <f t="shared" si="2"/>
        <v>12141.13479269791</v>
      </c>
      <c r="S5" s="28">
        <f t="shared" si="2"/>
        <v>12154.280411174574</v>
      </c>
      <c r="T5" s="28">
        <f t="shared" si="2"/>
        <v>12195.308477916282</v>
      </c>
      <c r="U5" s="28">
        <f t="shared" si="2"/>
        <v>12295.777356242219</v>
      </c>
      <c r="V5" s="28">
        <f t="shared" si="2"/>
        <v>12315.853952876927</v>
      </c>
      <c r="W5" s="28">
        <f t="shared" si="2"/>
        <v>12327.937047038282</v>
      </c>
      <c r="X5" s="28">
        <f t="shared" si="2"/>
        <v>12449.451460370632</v>
      </c>
      <c r="Y5" s="28">
        <f t="shared" si="2"/>
        <v>12727.79526847731</v>
      </c>
      <c r="Z5" s="28">
        <f t="shared" si="2"/>
        <v>12783.749755339755</v>
      </c>
      <c r="AA5" s="28">
        <f t="shared" si="2"/>
        <v>13091.29763530146</v>
      </c>
      <c r="AB5" s="28">
        <f t="shared" si="2"/>
        <v>13223.03883016218</v>
      </c>
      <c r="AC5" s="28">
        <f t="shared" si="2"/>
        <v>13268.265295811148</v>
      </c>
      <c r="AD5" s="28">
        <f t="shared" si="2"/>
        <v>13487.32664308693</v>
      </c>
      <c r="AE5" s="28">
        <f t="shared" si="2"/>
        <v>13486.07480391303</v>
      </c>
      <c r="AF5" s="28">
        <f t="shared" si="2"/>
        <v>13728.78799811946</v>
      </c>
      <c r="AG5" s="28">
        <f t="shared" si="2"/>
        <v>13837.616729399704</v>
      </c>
      <c r="AH5" s="28">
        <f t="shared" si="2"/>
        <v>14036.114617256258</v>
      </c>
      <c r="AI5" s="28">
        <f t="shared" si="2"/>
        <v>14173.666133714241</v>
      </c>
      <c r="AJ5" s="28">
        <f t="shared" si="2"/>
        <v>14276.152124863063</v>
      </c>
      <c r="AK5" s="28">
        <f t="shared" si="2"/>
        <v>14438.208538869576</v>
      </c>
      <c r="AL5" s="28">
        <f t="shared" si="2"/>
        <v>14469.018241812377</v>
      </c>
      <c r="AM5" s="28">
        <f t="shared" si="2"/>
        <v>14634.772686177112</v>
      </c>
      <c r="AN5" s="28">
        <f t="shared" si="2"/>
        <v>14699.093417518807</v>
      </c>
      <c r="AO5" s="28">
        <f t="shared" si="2"/>
        <v>14752.50212500281</v>
      </c>
      <c r="AP5" s="28">
        <f t="shared" si="2"/>
        <v>14751.158336607376</v>
      </c>
      <c r="AQ5" s="28">
        <f t="shared" si="2"/>
        <v>14959.466456320706</v>
      </c>
      <c r="AR5" s="28">
        <f t="shared" si="2"/>
        <v>14948.092109334877</v>
      </c>
      <c r="AS5" s="28">
        <f t="shared" si="2"/>
        <v>14934.556651208828</v>
      </c>
      <c r="AT5" s="28">
        <f t="shared" si="2"/>
        <v>15074.777021885115</v>
      </c>
      <c r="AU5" s="28">
        <f t="shared" si="2"/>
        <v>15237.255497705426</v>
      </c>
      <c r="AV5" s="28">
        <f t="shared" si="2"/>
        <v>15267.97545306231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5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5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5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8"/>
  <sheetViews>
    <sheetView workbookViewId="0" zoomScale="100" zoomScaleNormal="100">
      <selection activeCell="B3" sqref="B3"/>
    </sheetView>
  </sheetViews>
  <sheetFormatPr defaultRowHeight="15" outlineLevelRow="0" outlineLevelCol="0" x14ac:dyDescent="0.2"/>
  <cols>
    <col min="2" max="2" width="25.83203125" customWidth="1"/>
    <col min="3" max="3" width="19.6640625" customWidth="1"/>
  </cols>
  <sheetData>
    <row r="2" spans="2:3" x14ac:dyDescent="0.25">
      <c r="B2" t="s">
        <v>0</v>
      </c>
      <c r="C2" t="s">
        <v>1</v>
      </c>
    </row>
    <row r="3" ht="17" customHeight="1" spans="2:3" x14ac:dyDescent="0.25">
      <c r="B3" s="1" t="s">
        <v>2</v>
      </c>
      <c r="C3" s="1" t="s">
        <v>2</v>
      </c>
    </row>
    <row r="4" ht="17" customHeight="1" spans="2:3" x14ac:dyDescent="0.25">
      <c r="B4" s="1" t="s">
        <v>3</v>
      </c>
      <c r="C4" s="1" t="s">
        <v>2</v>
      </c>
    </row>
    <row r="5" ht="17" customHeight="1" spans="2:3" x14ac:dyDescent="0.25">
      <c r="B5" s="1" t="s">
        <v>4</v>
      </c>
      <c r="C5" s="1" t="s">
        <v>2</v>
      </c>
    </row>
    <row r="6" ht="17" customHeight="1" spans="2:3" x14ac:dyDescent="0.25">
      <c r="B6" s="1" t="s">
        <v>5</v>
      </c>
      <c r="C6" s="1" t="s">
        <v>6</v>
      </c>
    </row>
    <row r="7" ht="17" customHeight="1" spans="2:3" x14ac:dyDescent="0.25">
      <c r="B7" s="1" t="s">
        <v>7</v>
      </c>
      <c r="C7" s="1" t="s">
        <v>6</v>
      </c>
    </row>
    <row r="8" ht="17" customHeight="1" spans="2:3" x14ac:dyDescent="0.25">
      <c r="B8" s="1" t="s">
        <v>8</v>
      </c>
      <c r="C8" s="1" t="s">
        <v>6</v>
      </c>
    </row>
    <row r="9" ht="17" customHeight="1" spans="2:3" x14ac:dyDescent="0.25">
      <c r="B9" s="1" t="s">
        <v>9</v>
      </c>
      <c r="C9" s="1" t="s">
        <v>6</v>
      </c>
    </row>
    <row r="10" ht="17" customHeight="1" spans="2:3" x14ac:dyDescent="0.25">
      <c r="B10" s="1" t="s">
        <v>10</v>
      </c>
      <c r="C10" s="1" t="s">
        <v>6</v>
      </c>
    </row>
    <row r="11" ht="17" customHeight="1" spans="2:3" x14ac:dyDescent="0.25">
      <c r="B11" s="1" t="s">
        <v>11</v>
      </c>
      <c r="C11" s="1" t="s">
        <v>6</v>
      </c>
    </row>
    <row r="12" ht="17" customHeight="1" spans="2:3" x14ac:dyDescent="0.25">
      <c r="B12" s="1" t="s">
        <v>12</v>
      </c>
      <c r="C12" s="1" t="s">
        <v>6</v>
      </c>
    </row>
    <row r="13" ht="17" customHeight="1" spans="2:3" x14ac:dyDescent="0.25">
      <c r="B13" s="1" t="s">
        <v>13</v>
      </c>
      <c r="C13" s="1" t="s">
        <v>6</v>
      </c>
    </row>
    <row r="14" ht="17" customHeight="1" spans="2:3" x14ac:dyDescent="0.25">
      <c r="B14" s="1" t="s">
        <v>14</v>
      </c>
      <c r="C14" s="1" t="s">
        <v>6</v>
      </c>
    </row>
    <row r="15" ht="17" customHeight="1" spans="2:3" x14ac:dyDescent="0.25">
      <c r="B15" s="1" t="s">
        <v>15</v>
      </c>
      <c r="C15" s="1" t="s">
        <v>15</v>
      </c>
    </row>
    <row r="16" ht="17" customHeight="1" spans="2:3" x14ac:dyDescent="0.25">
      <c r="B16" s="1">
        <v>529</v>
      </c>
      <c r="C16" s="1" t="s">
        <v>16</v>
      </c>
    </row>
    <row r="17" ht="17" customHeight="1" spans="2:3" x14ac:dyDescent="0.25">
      <c r="B17" s="1" t="s">
        <v>17</v>
      </c>
      <c r="C17" s="1" t="s">
        <v>16</v>
      </c>
    </row>
    <row r="18" ht="17" customHeight="1" spans="2:3" x14ac:dyDescent="0.25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G18"/>
  <sheetViews>
    <sheetView workbookViewId="0" zoomScale="100" zoomScaleNormal="100">
      <selection activeCell="H37" sqref="H37"/>
    </sheetView>
  </sheetViews>
  <sheetFormatPr defaultRowHeight="16" outlineLevelRow="0" outlineLevelCol="0" x14ac:dyDescent="0.2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4" x14ac:dyDescent="0.25">
      <c r="B6" s="2" t="s">
        <v>48</v>
      </c>
      <c r="C6" s="2" t="s">
        <v>50</v>
      </c>
      <c r="D6" s="19">
        <v>5000</v>
      </c>
    </row>
    <row r="7" spans="2:4" x14ac:dyDescent="0.25">
      <c r="B7" s="2" t="s">
        <v>48</v>
      </c>
      <c r="C7" s="2" t="s">
        <v>56</v>
      </c>
      <c r="D7" s="19">
        <f>G2-SUM(D5:D6)</f>
        <v>41000</v>
      </c>
    </row>
    <row r="8" spans="2:4" x14ac:dyDescent="0.25">
      <c r="B8" s="2" t="s">
        <v>56</v>
      </c>
      <c r="C8" s="2" t="s">
        <v>57</v>
      </c>
      <c r="D8" s="19">
        <f>(250*G5)*12</f>
        <v>6000</v>
      </c>
    </row>
    <row r="9" spans="2:4" x14ac:dyDescent="0.25">
      <c r="B9" s="2" t="s">
        <v>56</v>
      </c>
      <c r="C9" s="2" t="s">
        <v>58</v>
      </c>
      <c r="D9" s="19">
        <v>10000</v>
      </c>
    </row>
    <row r="10" spans="2:4" x14ac:dyDescent="0.25">
      <c r="B10" s="2" t="s">
        <v>56</v>
      </c>
      <c r="C10" s="2" t="s">
        <v>59</v>
      </c>
      <c r="D10" s="19">
        <v>12000</v>
      </c>
    </row>
    <row r="11" spans="2:4" x14ac:dyDescent="0.25">
      <c r="B11" s="2" t="s">
        <v>56</v>
      </c>
      <c r="C11" s="2" t="s">
        <v>53</v>
      </c>
      <c r="D11" s="19">
        <f>D7-SUM(D8:D10,D12)</f>
        <v>8000</v>
      </c>
    </row>
    <row r="12" spans="2:4" x14ac:dyDescent="0.25">
      <c r="B12" s="2" t="s">
        <v>56</v>
      </c>
      <c r="C12" s="2" t="s">
        <v>60</v>
      </c>
      <c r="D12" s="2">
        <v>5000</v>
      </c>
    </row>
    <row r="15" spans="4:4" x14ac:dyDescent="0.25">
      <c r="D15" s="19"/>
    </row>
    <row r="16" spans="4:4" x14ac:dyDescent="0.25">
      <c r="D16" s="19"/>
    </row>
    <row r="17" spans="4:4" x14ac:dyDescent="0.25">
      <c r="D17" s="19"/>
    </row>
    <row r="18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74"/>
  <sheetViews>
    <sheetView workbookViewId="0" zoomScale="120" zoomScaleNormal="120">
      <selection activeCell="G19" sqref="G19"/>
    </sheetView>
  </sheetViews>
  <sheetFormatPr defaultRowHeight="16" outlineLevelRow="0" outlineLevelCol="1" x14ac:dyDescent="0.2" defaultColWidth="10.83203125" customHeight="1"/>
  <cols>
    <col min="1" max="1" width="3.1640625" style="8" customWidth="1"/>
    <col min="2" max="2" width="13.33203125" style="8" customWidth="1"/>
    <col min="3" max="3" width="12" style="8" outlineLevel="1" collapsed="1" customWidth="1"/>
    <col min="4" max="4" width="10.83203125" style="2" outlineLevel="1" collapsed="1" customWidth="1"/>
    <col min="5" max="5" width="11.5" style="8" customWidth="1"/>
    <col min="6" max="6" width="9.5" style="29" customWidth="1"/>
    <col min="7" max="7" width="80.83203125" style="8" customWidth="1"/>
    <col min="8" max="8" width="11.6640625" style="8" customWidth="1"/>
    <col min="9" max="9" width="9.1640625" style="8" customWidth="1"/>
    <col min="10" max="10" width="12.33203125" style="8" customWidth="1"/>
    <col min="11" max="11" width="11.33203125" style="8" customWidth="1"/>
    <col min="12" max="12" width="11.1640625" style="8" customWidth="1"/>
    <col min="13" max="13" width="12.33203125" style="8" customWidth="1"/>
    <col min="14" max="14" width="11.83203125" style="17" customWidth="1"/>
    <col min="15" max="15" width="13.1640625" style="17" customWidth="1"/>
    <col min="16" max="16384" width="10.83203125" style="8" customWidth="1"/>
  </cols>
  <sheetData>
    <row r="1" ht="15" customHeight="1" spans="4:15" x14ac:dyDescent="0.25">
      <c r="D1" s="8"/>
      <c r="M1" s="17"/>
      <c r="O1" s="8"/>
    </row>
    <row r="2" ht="29" customHeight="1" spans="1:16" s="30" customFormat="1" x14ac:dyDescent="0.25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  <c r="O2" s="31" t="s">
        <v>91</v>
      </c>
      <c r="P2" s="31" t="s">
        <v>92</v>
      </c>
    </row>
    <row r="3" ht="14" customHeight="1" hidden="1" spans="2:16" x14ac:dyDescent="0.25">
      <c r="B3" s="6" t="s">
        <v>22</v>
      </c>
      <c r="C3" s="6" t="str">
        <f t="array" ref="C3">_xlfn.XLOOKUP(Table94[[#This Row],[Account]],Table25[[#All],[Account]],Table25[[#All],[Account Type2]])</f>
        <v>Brokerage</v>
      </c>
      <c r="D3" s="6" t="str">
        <f t="array" ref="D3">_xlfn.XLOOKUP(Table94[[#This Row],[Account]],Table25[[#All],[Account]],Table25[[#All],[Owner]])</f>
        <v>Drew</v>
      </c>
      <c r="E3" s="6" t="s">
        <v>93</v>
      </c>
      <c r="F3" s="6" t="s">
        <v>94</v>
      </c>
      <c r="G3" s="33" t="str">
        <f t="array" ref="G3">_xlfn.XLOOKUP(Table94[[#This Row],[Symbol]],Table36[[#All],[Symbol]],Table36[[#All],[Security Description]])</f>
        <v>APPLE INC</v>
      </c>
      <c r="H3" s="34">
        <v>41715</v>
      </c>
      <c r="I3" s="35">
        <f>Table94[[#This Row],[Symbol]]&amp;" "&amp;Table94[[#This Row],[Date Acquired]]</f>
        <v>NaN</v>
      </c>
      <c r="J3" s="6">
        <v>2</v>
      </c>
      <c r="K3" s="36">
        <f>75.8892857142857*7</f>
        <v>531.2249999999999</v>
      </c>
      <c r="L3" s="37">
        <v>43143</v>
      </c>
      <c r="M3" s="6"/>
      <c r="N3" s="6">
        <v>14</v>
      </c>
      <c r="O3" s="36">
        <f>IF(Table94[[#This Row],[Transaction]]="Closed",Table94[[#This Row],[Proceeds]]/Table94[[#This Row],[Shares Sold]],"")</f>
        <v>162.30785714285713</v>
      </c>
      <c r="P3" s="36">
        <v>2272.31</v>
      </c>
    </row>
    <row r="4" ht="14" customHeight="1" hidden="1" spans="2:16" x14ac:dyDescent="0.25">
      <c r="B4" s="6" t="s">
        <v>22</v>
      </c>
      <c r="C4" s="6" t="str">
        <f t="array" ref="C4">_xlfn.XLOOKUP(Table94[[#This Row],[Account]],Table25[[#All],[Account]],Table25[[#All],[Account Type2]])</f>
        <v>Brokerage</v>
      </c>
      <c r="D4" s="6" t="str">
        <f t="array" ref="D4">_xlfn.XLOOKUP(Table94[[#This Row],[Account]],Table25[[#All],[Account]],Table25[[#All],[Owner]])</f>
        <v>Drew</v>
      </c>
      <c r="E4" s="6" t="s">
        <v>93</v>
      </c>
      <c r="F4" s="6" t="s">
        <v>94</v>
      </c>
      <c r="G4" s="33" t="str">
        <f t="array" ref="G4">_xlfn.XLOOKUP(Table94[[#This Row],[Symbol]],Table36[[#All],[Symbol]],Table36[[#All],[Security Description]])</f>
        <v>APPLE INC</v>
      </c>
      <c r="H4" s="34">
        <v>41807</v>
      </c>
      <c r="I4" s="35">
        <f>Table94[[#This Row],[Symbol]]&amp;" "&amp;Table94[[#This Row],[Date Acquired]]</f>
        <v>NaN</v>
      </c>
      <c r="J4" s="6">
        <v>11</v>
      </c>
      <c r="K4" s="36">
        <v>92.89727272727272</v>
      </c>
      <c r="L4" s="37">
        <v>43143</v>
      </c>
      <c r="M4" s="6"/>
      <c r="N4" s="6">
        <v>11</v>
      </c>
      <c r="O4" s="36">
        <f>IF(Table94[[#This Row],[Transaction]]="Closed",Table94[[#This Row],[Proceeds]]/Table94[[#This Row],[Shares Sold]],"")</f>
        <v>162.30818181818182</v>
      </c>
      <c r="P4" s="36">
        <v>1785.39</v>
      </c>
    </row>
    <row r="5" ht="14" customHeight="1" hidden="1" spans="2:16" x14ac:dyDescent="0.25">
      <c r="B5" s="6" t="s">
        <v>22</v>
      </c>
      <c r="C5" s="6" t="str">
        <f t="array" ref="C5">_xlfn.XLOOKUP(Table94[[#This Row],[Account]],Table25[[#All],[Account]],Table25[[#All],[Account Type2]])</f>
        <v>Brokerage</v>
      </c>
      <c r="D5" s="6" t="str">
        <f t="array" ref="D5">_xlfn.XLOOKUP(Table94[[#This Row],[Account]],Table25[[#All],[Account]],Table25[[#All],[Owner]])</f>
        <v>Drew</v>
      </c>
      <c r="E5" s="6" t="s">
        <v>93</v>
      </c>
      <c r="F5" s="6" t="s">
        <v>94</v>
      </c>
      <c r="G5" s="33" t="str">
        <f t="array" ref="G5">_xlfn.XLOOKUP(Table94[[#This Row],[Symbol]],Table36[[#All],[Symbol]],Table36[[#All],[Security Description]])</f>
        <v>APPLE INC</v>
      </c>
      <c r="H5" s="34">
        <v>41807</v>
      </c>
      <c r="I5" s="35">
        <f>Table94[[#This Row],[Symbol]]&amp;" "&amp;Table94[[#This Row],[Date Acquired]]</f>
        <v>NaN</v>
      </c>
      <c r="J5" s="6">
        <f>20/4</f>
        <v>5</v>
      </c>
      <c r="K5" s="36">
        <f>23.224*4</f>
        <v>92.896</v>
      </c>
      <c r="L5" s="37">
        <v>44074</v>
      </c>
      <c r="M5" s="6"/>
      <c r="N5" s="6">
        <v>20</v>
      </c>
      <c r="O5" s="36">
        <f>IF(Table94[[#This Row],[Transaction]]="Closed",Table94[[#This Row],[Proceeds]]/Table94[[#This Row],[Shares Sold]],"")</f>
        <v>130.60750000000002</v>
      </c>
      <c r="P5" s="36">
        <v>2612.15</v>
      </c>
    </row>
    <row r="6" ht="14" customHeight="1" hidden="1" spans="2:16" x14ac:dyDescent="0.25">
      <c r="B6" s="6" t="s">
        <v>22</v>
      </c>
      <c r="C6" s="6" t="str">
        <f t="array" ref="C6">_xlfn.XLOOKUP(Table94[[#This Row],[Account]],Table25[[#All],[Account]],Table25[[#All],[Account Type2]])</f>
        <v>Brokerage</v>
      </c>
      <c r="D6" s="6" t="str">
        <f t="array" ref="D6">_xlfn.XLOOKUP(Table94[[#This Row],[Account]],Table25[[#All],[Account]],Table25[[#All],[Owner]])</f>
        <v>Drew</v>
      </c>
      <c r="E6" s="6" t="s">
        <v>93</v>
      </c>
      <c r="F6" s="6" t="s">
        <v>94</v>
      </c>
      <c r="G6" s="33" t="str">
        <f t="array" ref="G6">_xlfn.XLOOKUP(Table94[[#This Row],[Symbol]],Table36[[#All],[Symbol]],Table36[[#All],[Security Description]])</f>
        <v>APPLE INC</v>
      </c>
      <c r="H6" s="34">
        <v>41988</v>
      </c>
      <c r="I6" s="35">
        <f>Table94[[#This Row],[Symbol]]&amp;" "&amp;Table94[[#This Row],[Date Acquired]]</f>
        <v>NaN</v>
      </c>
      <c r="J6" s="6">
        <f>36/4</f>
        <v>9</v>
      </c>
      <c r="K6" s="36">
        <f>4*27.8233333333333</f>
        <v>111.2933333333332</v>
      </c>
      <c r="L6" s="37">
        <v>44074</v>
      </c>
      <c r="M6" s="6"/>
      <c r="N6" s="6">
        <v>36</v>
      </c>
      <c r="O6" s="36">
        <f>IF(Table94[[#This Row],[Transaction]]="Closed",Table94[[#This Row],[Proceeds]]/Table94[[#This Row],[Shares Sold]],"")</f>
        <v>130.60777777777778</v>
      </c>
      <c r="P6" s="36">
        <v>4701.88</v>
      </c>
    </row>
    <row r="7" ht="14" customHeight="1" spans="2:16" x14ac:dyDescent="0.25">
      <c r="B7" s="6" t="s">
        <v>22</v>
      </c>
      <c r="C7" s="6" t="str">
        <f t="array" ref="C7">_xlfn.XLOOKUP(Table94[[#This Row],[Account]],Table25[[#All],[Account]],Table25[[#All],[Account Type2]])</f>
        <v>Brokerage</v>
      </c>
      <c r="D7" s="6" t="str">
        <f t="array" ref="D7">_xlfn.XLOOKUP(Table94[[#This Row],[Account]],Table25[[#All],[Account]],Table25[[#All],[Owner]])</f>
        <v>Drew</v>
      </c>
      <c r="E7" s="6" t="s">
        <v>95</v>
      </c>
      <c r="F7" s="6" t="s">
        <v>94</v>
      </c>
      <c r="G7" s="33" t="str">
        <f t="array" ref="G7">_xlfn.XLOOKUP(Table94[[#This Row],[Symbol]],Table36[[#All],[Symbol]],Table36[[#All],[Security Description]])</f>
        <v>APPLE INC</v>
      </c>
      <c r="H7" s="34">
        <v>42359</v>
      </c>
      <c r="I7" s="35">
        <f>Table94[[#This Row],[Symbol]]&amp;" "&amp;Table94[[#This Row],[Date Acquired]]</f>
        <v>NaN</v>
      </c>
      <c r="J7" s="6">
        <f>18/4</f>
        <v>4.5</v>
      </c>
      <c r="K7" s="36">
        <f>4*26.83</f>
        <v>107.32</v>
      </c>
      <c r="L7" s="37"/>
      <c r="M7" s="6"/>
      <c r="N7" s="6"/>
      <c r="O7" s="36">
        <f>IF(Table94[[#This Row],[Transaction]]="Closed",Table94[[#This Row],[Proceeds]]/Table94[[#This Row],[Shares Sold]],"")</f>
      </c>
      <c r="P7" s="36"/>
    </row>
    <row r="8" ht="14" customHeight="1" hidden="1" spans="2:16" x14ac:dyDescent="0.25">
      <c r="B8" s="6" t="s">
        <v>24</v>
      </c>
      <c r="C8" s="6" t="str">
        <f t="array" ref="C8">_xlfn.XLOOKUP(Table94[[#This Row],[Account]],Table25[[#All],[Account]],Table25[[#All],[Account Type2]])</f>
        <v>Roth IRA</v>
      </c>
      <c r="D8" s="6" t="str">
        <f t="array" ref="D8">_xlfn.XLOOKUP(Table94[[#This Row],[Account]],Table25[[#All],[Account]],Table25[[#All],[Owner]])</f>
        <v>Shaun</v>
      </c>
      <c r="E8" s="6" t="s">
        <v>93</v>
      </c>
      <c r="F8" s="6" t="s">
        <v>94</v>
      </c>
      <c r="G8" s="33" t="str">
        <f t="array" ref="G8">_xlfn.XLOOKUP(Table94[[#This Row],[Symbol]],Table36[[#All],[Symbol]],Table36[[#All],[Security Description]])</f>
        <v>APPLE INC</v>
      </c>
      <c r="H8" s="34">
        <v>42359</v>
      </c>
      <c r="I8" s="35">
        <f>Table94[[#This Row],[Symbol]]&amp;" "&amp;Table94[[#This Row],[Date Acquired]]</f>
        <v>NaN</v>
      </c>
      <c r="J8" s="6">
        <f>12/4</f>
        <v>3</v>
      </c>
      <c r="K8" s="36">
        <f>4*26.825</f>
        <v>107.3</v>
      </c>
      <c r="L8" s="37">
        <v>44074</v>
      </c>
      <c r="M8" s="6"/>
      <c r="N8" s="6">
        <v>12</v>
      </c>
      <c r="O8" s="36">
        <f>IF(Table94[[#This Row],[Transaction]]="Closed",Table94[[#This Row],[Proceeds]]/Table94[[#This Row],[Shares Sold]],"")</f>
        <v>130.6075</v>
      </c>
      <c r="P8" s="36">
        <v>1567.29</v>
      </c>
    </row>
    <row r="9" ht="14" customHeight="1" hidden="1" spans="2:16" x14ac:dyDescent="0.25">
      <c r="B9" s="6" t="s">
        <v>22</v>
      </c>
      <c r="C9" s="6" t="str">
        <f t="array" ref="C9">_xlfn.XLOOKUP(Table94[[#This Row],[Account]],Table25[[#All],[Account]],Table25[[#All],[Account Type2]])</f>
        <v>Brokerage</v>
      </c>
      <c r="D9" s="6" t="str">
        <f t="array" ref="D9">_xlfn.XLOOKUP(Table94[[#This Row],[Account]],Table25[[#All],[Account]],Table25[[#All],[Owner]])</f>
        <v>Drew</v>
      </c>
      <c r="E9" s="6" t="s">
        <v>93</v>
      </c>
      <c r="F9" s="6" t="s">
        <v>94</v>
      </c>
      <c r="G9" s="33" t="str">
        <f t="array" ref="G9">_xlfn.XLOOKUP(Table94[[#This Row],[Symbol]],Table36[[#All],[Symbol]],Table36[[#All],[Security Description]])</f>
        <v>APPLE INC</v>
      </c>
      <c r="H9" s="34">
        <v>42359</v>
      </c>
      <c r="I9" s="35">
        <f>Table94[[#This Row],[Symbol]]&amp;" "&amp;Table94[[#This Row],[Date Acquired]]</f>
        <v>NaN</v>
      </c>
      <c r="J9" s="6">
        <f>1/4</f>
        <v>0.25</v>
      </c>
      <c r="K9" s="36">
        <f>4*26.83</f>
        <v>107.32</v>
      </c>
      <c r="L9" s="37">
        <v>45415</v>
      </c>
      <c r="M9" s="6" t="s">
        <v>96</v>
      </c>
      <c r="N9" s="6">
        <v>1</v>
      </c>
      <c r="O9" s="36">
        <f>IF(Table94[[#This Row],[Transaction]]="Closed",Table94[[#This Row],[Proceeds]]/Table94[[#This Row],[Shares Sold]],"")</f>
        <v>183.38</v>
      </c>
      <c r="P9" s="36">
        <v>183.38</v>
      </c>
    </row>
    <row r="10" ht="14" customHeight="1" hidden="1" spans="2:16" x14ac:dyDescent="0.25">
      <c r="B10" s="6" t="s">
        <v>22</v>
      </c>
      <c r="C10" s="6" t="str">
        <f t="array" ref="C10">_xlfn.XLOOKUP(Table94[[#This Row],[Account]],Table25[[#All],[Account]],Table25[[#All],[Account Type2]])</f>
        <v>Brokerage</v>
      </c>
      <c r="D10" s="6" t="str">
        <f t="array" ref="D10">_xlfn.XLOOKUP(Table94[[#This Row],[Account]],Table25[[#All],[Account]],Table25[[#All],[Owner]])</f>
        <v>Drew</v>
      </c>
      <c r="E10" s="6" t="s">
        <v>93</v>
      </c>
      <c r="F10" s="6" t="s">
        <v>94</v>
      </c>
      <c r="G10" s="33" t="str">
        <f t="array" ref="G10">_xlfn.XLOOKUP(Table94[[#This Row],[Symbol]],Table36[[#All],[Symbol]],Table36[[#All],[Security Description]])</f>
        <v>APPLE INC</v>
      </c>
      <c r="H10" s="34">
        <v>42359</v>
      </c>
      <c r="I10" s="35">
        <f>Table94[[#This Row],[Symbol]]&amp;" "&amp;Table94[[#This Row],[Date Acquired]]</f>
        <v>NaN</v>
      </c>
      <c r="J10" s="6">
        <f>7/4</f>
        <v>1.75</v>
      </c>
      <c r="K10" s="36">
        <f>4*26.83</f>
        <v>107.32</v>
      </c>
      <c r="L10" s="37">
        <v>45608</v>
      </c>
      <c r="M10" s="6" t="s">
        <v>96</v>
      </c>
      <c r="N10" s="6">
        <v>7</v>
      </c>
      <c r="O10" s="36">
        <f>IF(Table94[[#This Row],[Transaction]]="Closed",Table94[[#This Row],[Proceeds]]/Table94[[#This Row],[Shares Sold]],"")</f>
        <v>224.73142857142855</v>
      </c>
      <c r="P10" s="36">
        <v>1573.12</v>
      </c>
    </row>
    <row r="11" ht="14" customHeight="1" hidden="1" spans="2:16" x14ac:dyDescent="0.25">
      <c r="B11" s="6" t="s">
        <v>22</v>
      </c>
      <c r="C11" s="6" t="str">
        <f t="array" ref="C11">_xlfn.XLOOKUP(Table94[[#This Row],[Account]],Table25[[#All],[Account]],Table25[[#All],[Account Type2]])</f>
        <v>Brokerage</v>
      </c>
      <c r="D11" s="6" t="str">
        <f t="array" ref="D11">_xlfn.XLOOKUP(Table94[[#This Row],[Account]],Table25[[#All],[Account]],Table25[[#All],[Owner]])</f>
        <v>Drew</v>
      </c>
      <c r="E11" s="6" t="s">
        <v>93</v>
      </c>
      <c r="F11" s="6" t="s">
        <v>94</v>
      </c>
      <c r="G11" s="33" t="str">
        <f t="array" ref="G11">_xlfn.XLOOKUP(Table94[[#This Row],[Symbol]],Table36[[#All],[Symbol]],Table36[[#All],[Security Description]])</f>
        <v>APPLE INC</v>
      </c>
      <c r="H11" s="34">
        <v>42359</v>
      </c>
      <c r="I11" s="35">
        <f>Table94[[#This Row],[Symbol]]&amp;" "&amp;Table94[[#This Row],[Date Acquired]]</f>
        <v>NaN</v>
      </c>
      <c r="J11" s="6">
        <f>22/4</f>
        <v>5.5</v>
      </c>
      <c r="K11" s="36">
        <f>4*26.83</f>
        <v>107.32</v>
      </c>
      <c r="L11" s="37">
        <v>45698</v>
      </c>
      <c r="M11" s="6"/>
      <c r="N11" s="6">
        <f>Table94[[#This Row],[Shares Bought]]</f>
        <v>5.5</v>
      </c>
      <c r="O11" s="36">
        <v>229.405</v>
      </c>
      <c r="P11" s="36">
        <v>5046.91</v>
      </c>
    </row>
    <row r="12" ht="14" customHeight="1" spans="2:16" x14ac:dyDescent="0.25">
      <c r="B12" s="6" t="s">
        <v>24</v>
      </c>
      <c r="C12" s="6" t="str">
        <f t="array" ref="C12">_xlfn.XLOOKUP(Table94[[#This Row],[Account]],Table25[[#All],[Account]],Table25[[#All],[Account Type2]])</f>
        <v>Roth IRA</v>
      </c>
      <c r="D12" s="6" t="str">
        <f t="array" ref="D12">_xlfn.XLOOKUP(Table94[[#This Row],[Account]],Table25[[#All],[Account]],Table25[[#All],[Owner]])</f>
        <v>Shaun</v>
      </c>
      <c r="E12" s="6" t="s">
        <v>95</v>
      </c>
      <c r="F12" s="6" t="s">
        <v>94</v>
      </c>
      <c r="G12" s="33" t="str">
        <f t="array" ref="G12">_xlfn.XLOOKUP(Table94[[#This Row],[Symbol]],Table36[[#All],[Symbol]],Table36[[#All],[Security Description]])</f>
        <v>APPLE INC</v>
      </c>
      <c r="H12" s="34">
        <v>43837</v>
      </c>
      <c r="I12" s="35">
        <f>Table94[[#This Row],[Symbol]]&amp;" "&amp;Table94[[#This Row],[Date Acquired]]</f>
        <v>NaN</v>
      </c>
      <c r="J12" s="6">
        <f>32/4</f>
        <v>8</v>
      </c>
      <c r="K12" s="36">
        <f>4*74.93</f>
        <v>299.72</v>
      </c>
      <c r="L12" s="37"/>
      <c r="M12" s="6"/>
      <c r="N12" s="6"/>
      <c r="O12" s="36">
        <f>IF(Table94[[#This Row],[Transaction]]="Closed",Table94[[#This Row],[Proceeds]]/Table94[[#This Row],[Shares Sold]],"")</f>
      </c>
      <c r="P12" s="36"/>
    </row>
    <row r="13" ht="14" customHeight="1" spans="2:16" x14ac:dyDescent="0.25">
      <c r="B13" s="6" t="s">
        <v>22</v>
      </c>
      <c r="C13" s="6" t="str">
        <f t="array" ref="C13">_xlfn.XLOOKUP(Table94[[#This Row],[Account]],Table25[[#All],[Account]],Table25[[#All],[Account Type2]])</f>
        <v>Brokerage</v>
      </c>
      <c r="D13" s="6" t="str">
        <f t="array" ref="D13">_xlfn.XLOOKUP(Table94[[#This Row],[Account]],Table25[[#All],[Account]],Table25[[#All],[Owner]])</f>
        <v>Drew</v>
      </c>
      <c r="E13" s="6" t="s">
        <v>95</v>
      </c>
      <c r="F13" s="6" t="s">
        <v>94</v>
      </c>
      <c r="G13" s="33" t="str">
        <f t="array" ref="G13">_xlfn.XLOOKUP(Table94[[#This Row],[Symbol]],Table36[[#All],[Symbol]],Table36[[#All],[Security Description]])</f>
        <v>APPLE INC</v>
      </c>
      <c r="H13" s="34">
        <v>44365</v>
      </c>
      <c r="I13" s="35">
        <f>Table94[[#This Row],[Symbol]]&amp;" "&amp;Table94[[#This Row],[Date Acquired]]</f>
        <v>NaN</v>
      </c>
      <c r="J13" s="6">
        <v>0.763</v>
      </c>
      <c r="K13" s="36">
        <v>130.96</v>
      </c>
      <c r="L13" s="37"/>
      <c r="M13" s="6"/>
      <c r="N13" s="6"/>
      <c r="O13" s="36">
        <f>IF(Table94[[#This Row],[Transaction]]="Closed",Table94[[#This Row],[Proceeds]]/Table94[[#This Row],[Shares Sold]],"")</f>
      </c>
      <c r="P13" s="36"/>
    </row>
    <row r="14" ht="14" customHeight="1" spans="2:16" x14ac:dyDescent="0.25">
      <c r="B14" s="6" t="s">
        <v>24</v>
      </c>
      <c r="C14" s="6" t="str">
        <f t="array" ref="C14">_xlfn.XLOOKUP(Table94[[#This Row],[Account]],Table25[[#All],[Account]],Table25[[#All],[Account Type2]])</f>
        <v>Roth IRA</v>
      </c>
      <c r="D14" s="6" t="str">
        <f t="array" ref="D14">_xlfn.XLOOKUP(Table94[[#This Row],[Account]],Table25[[#All],[Account]],Table25[[#All],[Owner]])</f>
        <v>Shaun</v>
      </c>
      <c r="E14" s="6" t="s">
        <v>95</v>
      </c>
      <c r="F14" s="6" t="s">
        <v>94</v>
      </c>
      <c r="G14" s="33" t="str">
        <f t="array" ref="G14">_xlfn.XLOOKUP(Table94[[#This Row],[Symbol]],Table36[[#All],[Symbol]],Table36[[#All],[Security Description]])</f>
        <v>APPLE INC</v>
      </c>
      <c r="H14" s="34">
        <v>44657</v>
      </c>
      <c r="I14" s="35">
        <f>Table94[[#This Row],[Symbol]]&amp;" "&amp;Table94[[#This Row],[Date Acquired]]</f>
        <v>NaN</v>
      </c>
      <c r="J14" s="6">
        <v>29.269</v>
      </c>
      <c r="K14" s="36">
        <v>170.82</v>
      </c>
      <c r="L14" s="37"/>
      <c r="M14" s="6"/>
      <c r="N14" s="6"/>
      <c r="O14" s="36">
        <f>IF(Table94[[#This Row],[Transaction]]="Closed",Table94[[#This Row],[Proceeds]]/Table94[[#This Row],[Shares Sold]],"")</f>
      </c>
      <c r="P14" s="36"/>
    </row>
    <row r="15" ht="14" customHeight="1" spans="2:16" x14ac:dyDescent="0.25">
      <c r="B15" s="6" t="s">
        <v>22</v>
      </c>
      <c r="C15" s="6" t="str">
        <f t="array" ref="C15">_xlfn.XLOOKUP(Table94[[#This Row],[Account]],Table25[[#All],[Account]],Table25[[#All],[Account Type2]])</f>
        <v>Brokerage</v>
      </c>
      <c r="D15" s="6" t="str">
        <f t="array" ref="D15">_xlfn.XLOOKUP(Table94[[#This Row],[Account]],Table25[[#All],[Account]],Table25[[#All],[Owner]])</f>
        <v>Drew</v>
      </c>
      <c r="E15" s="6" t="s">
        <v>95</v>
      </c>
      <c r="F15" s="6" t="s">
        <v>94</v>
      </c>
      <c r="G15" s="33" t="str">
        <f t="array" ref="G15">_xlfn.XLOOKUP(Table94[[#This Row],[Symbol]],Table36[[#All],[Symbol]],Table36[[#All],[Security Description]])</f>
        <v>APPLE INC</v>
      </c>
      <c r="H15" s="34">
        <v>44683</v>
      </c>
      <c r="I15" s="35">
        <f>Table94[[#This Row],[Symbol]]&amp;" "&amp;Table94[[#This Row],[Date Acquired]]</f>
        <v>NaN</v>
      </c>
      <c r="J15" s="6">
        <f>32.491</f>
        <v>32.491</v>
      </c>
      <c r="K15" s="36">
        <v>153.885</v>
      </c>
      <c r="L15" s="37"/>
      <c r="M15" s="6"/>
      <c r="N15" s="6"/>
      <c r="O15" s="36">
        <f>IF(Table94[[#This Row],[Transaction]]="Closed",Table94[[#This Row],[Proceeds]]/Table94[[#This Row],[Shares Sold]],"")</f>
      </c>
      <c r="P15" s="36"/>
    </row>
    <row r="16" ht="14" customHeight="1" spans="2:16" x14ac:dyDescent="0.25">
      <c r="B16" s="6" t="s">
        <v>22</v>
      </c>
      <c r="C16" s="6" t="str">
        <f t="array" ref="C16">_xlfn.XLOOKUP(Table94[[#This Row],[Account]],Table25[[#All],[Account]],Table25[[#All],[Account Type2]])</f>
        <v>Brokerage</v>
      </c>
      <c r="D16" s="6" t="str">
        <f t="array" ref="D16">_xlfn.XLOOKUP(Table94[[#This Row],[Account]],Table25[[#All],[Account]],Table25[[#All],[Owner]])</f>
        <v>Drew</v>
      </c>
      <c r="E16" s="6" t="s">
        <v>95</v>
      </c>
      <c r="F16" s="6" t="s">
        <v>94</v>
      </c>
      <c r="G16" s="33" t="str">
        <f t="array" ref="G16">_xlfn.XLOOKUP(Table94[[#This Row],[Symbol]],Table36[[#All],[Symbol]],Table36[[#All],[Security Description]])</f>
        <v>APPLE INC</v>
      </c>
      <c r="H16" s="34">
        <v>45022</v>
      </c>
      <c r="I16" s="35">
        <f>Table94[[#This Row],[Symbol]]&amp;" "&amp;Table94[[#This Row],[Date Acquired]]</f>
        <v>NaN</v>
      </c>
      <c r="J16" s="6">
        <v>0.152</v>
      </c>
      <c r="K16" s="36">
        <v>164.47</v>
      </c>
      <c r="L16" s="37"/>
      <c r="M16" s="6"/>
      <c r="N16" s="6"/>
      <c r="O16" s="36">
        <f>IF(Table94[[#This Row],[Transaction]]="Closed",Table94[[#This Row],[Proceeds]]/Table94[[#This Row],[Shares Sold]],"")</f>
      </c>
      <c r="P16" s="36"/>
    </row>
    <row r="17" ht="14" customHeight="1" spans="2:16" x14ac:dyDescent="0.25">
      <c r="B17" s="6" t="s">
        <v>22</v>
      </c>
      <c r="C17" s="6" t="str">
        <f t="array" ref="C17">_xlfn.XLOOKUP(Table94[[#This Row],[Account]],Table25[[#All],[Account]],Table25[[#All],[Account Type2]])</f>
        <v>Brokerage</v>
      </c>
      <c r="D17" s="6" t="str">
        <f t="array" ref="D17">_xlfn.XLOOKUP(Table94[[#This Row],[Account]],Table25[[#All],[Account]],Table25[[#All],[Owner]])</f>
        <v>Drew</v>
      </c>
      <c r="E17" s="6" t="s">
        <v>95</v>
      </c>
      <c r="F17" s="6" t="s">
        <v>94</v>
      </c>
      <c r="G17" s="33" t="str">
        <f t="array" ref="G17">_xlfn.XLOOKUP(Table94[[#This Row],[Symbol]],Table36[[#All],[Symbol]],Table36[[#All],[Security Description]])</f>
        <v>APPLE INC</v>
      </c>
      <c r="H17" s="34">
        <v>45079</v>
      </c>
      <c r="I17" s="35">
        <f>Table94[[#This Row],[Symbol]]&amp;" "&amp;Table94[[#This Row],[Date Acquired]]</f>
        <v>NaN</v>
      </c>
      <c r="J17" s="6">
        <v>0.138</v>
      </c>
      <c r="K17" s="36">
        <v>180.94</v>
      </c>
      <c r="L17" s="37"/>
      <c r="M17" s="6"/>
      <c r="N17" s="6"/>
      <c r="O17" s="36">
        <f>IF(Table94[[#This Row],[Transaction]]="Closed",Table94[[#This Row],[Proceeds]]/Table94[[#This Row],[Shares Sold]],"")</f>
      </c>
      <c r="P17" s="36"/>
    </row>
    <row r="18" ht="14" customHeight="1" spans="2:16" x14ac:dyDescent="0.25">
      <c r="B18" s="6" t="s">
        <v>22</v>
      </c>
      <c r="C18" s="6" t="str">
        <f t="array" ref="C18">_xlfn.XLOOKUP(Table94[[#This Row],[Account]],Table25[[#All],[Account]],Table25[[#All],[Account Type2]])</f>
        <v>Brokerage</v>
      </c>
      <c r="D18" s="6" t="str">
        <f t="array" ref="D18">_xlfn.XLOOKUP(Table94[[#This Row],[Account]],Table25[[#All],[Account]],Table25[[#All],[Owner]])</f>
        <v>Drew</v>
      </c>
      <c r="E18" s="6" t="s">
        <v>95</v>
      </c>
      <c r="F18" s="6" t="s">
        <v>94</v>
      </c>
      <c r="G18" s="33" t="str">
        <f t="array" ref="G18">_xlfn.XLOOKUP(Table94[[#This Row],[Symbol]],Table36[[#All],[Symbol]],Table36[[#All],[Security Description]])</f>
        <v>APPLE INC</v>
      </c>
      <c r="H18" s="34">
        <v>45215</v>
      </c>
      <c r="I18" s="35">
        <f>Table94[[#This Row],[Symbol]]&amp;" "&amp;Table94[[#This Row],[Date Acquired]]</f>
        <v>NaN</v>
      </c>
      <c r="J18" s="6">
        <v>0.252</v>
      </c>
      <c r="K18" s="36">
        <v>177.976</v>
      </c>
      <c r="L18" s="37"/>
      <c r="M18" s="6"/>
      <c r="N18" s="6"/>
      <c r="O18" s="36">
        <f>IF(Table94[[#This Row],[Transaction]]="Closed",Table94[[#This Row],[Proceeds]]/Table94[[#This Row],[Shares Sold]],"")</f>
      </c>
      <c r="P18" s="36"/>
    </row>
    <row r="19" ht="14" customHeight="1" spans="2:16" x14ac:dyDescent="0.25">
      <c r="B19" s="6" t="s">
        <v>22</v>
      </c>
      <c r="C19" s="6" t="str">
        <f t="array" ref="C19">_xlfn.XLOOKUP(Table94[[#This Row],[Account]],Table25[[#All],[Account]],Table25[[#All],[Account Type2]])</f>
        <v>Brokerage</v>
      </c>
      <c r="D19" s="6" t="str">
        <f t="array" ref="D19">_xlfn.XLOOKUP(Table94[[#This Row],[Account]],Table25[[#All],[Account]],Table25[[#All],[Owner]])</f>
        <v>Drew</v>
      </c>
      <c r="E19" s="6" t="s">
        <v>95</v>
      </c>
      <c r="F19" s="6" t="s">
        <v>94</v>
      </c>
      <c r="G19" s="33" t="str">
        <f t="array" ref="G19">_xlfn.XLOOKUP(Table94[[#This Row],[Symbol]],Table36[[#All],[Symbol]],Table36[[#All],[Security Description]])</f>
        <v>APPLE INC</v>
      </c>
      <c r="H19" s="34">
        <v>45481</v>
      </c>
      <c r="I19" s="35">
        <f>Table94[[#This Row],[Symbol]]&amp;" "&amp;Table94[[#This Row],[Date Acquired]]</f>
        <v>NaN</v>
      </c>
      <c r="J19" s="6">
        <v>22</v>
      </c>
      <c r="K19" s="36">
        <v>225.52</v>
      </c>
      <c r="L19" s="37"/>
      <c r="M19" s="6"/>
      <c r="N19" s="6"/>
      <c r="O19" s="36">
        <f>IF(Table94[[#This Row],[Transaction]]="Closed",Table94[[#This Row],[Proceeds]]/Table94[[#This Row],[Shares Sold]],"")</f>
      </c>
      <c r="P19" s="36"/>
    </row>
    <row r="20" ht="14" customHeight="1" spans="2:16" x14ac:dyDescent="0.25">
      <c r="B20" s="6" t="s">
        <v>24</v>
      </c>
      <c r="C20" s="6" t="str">
        <f t="array" ref="C20">_xlfn.XLOOKUP(Table94[[#This Row],[Account]],Table25[[#All],[Account]],Table25[[#All],[Account Type2]])</f>
        <v>Roth IRA</v>
      </c>
      <c r="D20" s="6" t="str">
        <f t="array" ref="D20">_xlfn.XLOOKUP(Table94[[#This Row],[Account]],Table25[[#All],[Account]],Table25[[#All],[Owner]])</f>
        <v>Shaun</v>
      </c>
      <c r="E20" s="6" t="s">
        <v>95</v>
      </c>
      <c r="F20" s="6" t="s">
        <v>97</v>
      </c>
      <c r="G20" s="33" t="str">
        <f t="array" ref="G20">_xlfn.XLOOKUP(Table94[[#This Row],[Symbol]],Table36[[#All],[Symbol]],Table36[[#All],[Security Description]])</f>
        <v>NETFLIX INC</v>
      </c>
      <c r="H20" s="34">
        <v>41758</v>
      </c>
      <c r="I20" s="35">
        <f>Table94[[#This Row],[Symbol]]&amp;" "&amp;Table94[[#This Row],[Date Acquired]]</f>
        <v>NaN</v>
      </c>
      <c r="J20" s="6">
        <v>1</v>
      </c>
      <c r="K20" s="36">
        <f>70*4.498</f>
        <v>314.86</v>
      </c>
      <c r="L20" s="37"/>
      <c r="M20" s="6"/>
      <c r="N20" s="6"/>
      <c r="O20" s="36">
        <f>IF(Table94[[#This Row],[Transaction]]="Closed",Table94[[#This Row],[Proceeds]]/Table94[[#This Row],[Shares Sold]],"")</f>
      </c>
      <c r="P20" s="36"/>
    </row>
    <row r="21" ht="14" customHeight="1" hidden="1" spans="2:16" x14ac:dyDescent="0.25">
      <c r="B21" s="6" t="s">
        <v>24</v>
      </c>
      <c r="C21" s="6" t="str">
        <f t="array" ref="C21">_xlfn.XLOOKUP(Table94[[#This Row],[Account]],Table25[[#All],[Account]],Table25[[#All],[Account Type2]])</f>
        <v>Roth IRA</v>
      </c>
      <c r="D21" s="6" t="str">
        <f t="array" ref="D21">_xlfn.XLOOKUP(Table94[[#This Row],[Account]],Table25[[#All],[Account]],Table25[[#All],[Owner]])</f>
        <v>Shaun</v>
      </c>
      <c r="E21" s="6" t="s">
        <v>93</v>
      </c>
      <c r="F21" s="6" t="s">
        <v>97</v>
      </c>
      <c r="G21" s="33" t="str">
        <f t="array" ref="G21">_xlfn.XLOOKUP(Table94[[#This Row],[Symbol]],Table36[[#All],[Symbol]],Table36[[#All],[Security Description]])</f>
        <v>NETFLIX INC</v>
      </c>
      <c r="H21" s="34">
        <v>41758</v>
      </c>
      <c r="I21" s="35">
        <f>Table94[[#This Row],[Symbol]]&amp;" "&amp;Table94[[#This Row],[Date Acquired]]</f>
        <v>NaN</v>
      </c>
      <c r="J21" s="6">
        <f>5/7</f>
        <v>0.7142857142857143</v>
      </c>
      <c r="K21" s="36">
        <f t="shared" ref="K21:K26" si="0">7*44.98</f>
        <v>314.85999999999996</v>
      </c>
      <c r="L21" s="37">
        <v>43143</v>
      </c>
      <c r="M21" s="6"/>
      <c r="N21" s="6">
        <v>5</v>
      </c>
      <c r="O21" s="36">
        <f>IF(Table94[[#This Row],[Transaction]]="Closed",Table94[[#This Row],[Proceeds]]/Table94[[#This Row],[Shares Sold]],"")</f>
        <v>255.148</v>
      </c>
      <c r="P21" s="36">
        <v>1275.74</v>
      </c>
    </row>
    <row r="22" ht="14" customHeight="1" hidden="1" spans="2:16" x14ac:dyDescent="0.25">
      <c r="B22" s="6" t="s">
        <v>24</v>
      </c>
      <c r="C22" s="6" t="str">
        <f t="array" ref="C22">_xlfn.XLOOKUP(Table94[[#This Row],[Account]],Table25[[#All],[Account]],Table25[[#All],[Account Type2]])</f>
        <v>Roth IRA</v>
      </c>
      <c r="D22" s="6" t="str">
        <f t="array" ref="D22">_xlfn.XLOOKUP(Table94[[#This Row],[Account]],Table25[[#All],[Account]],Table25[[#All],[Owner]])</f>
        <v>Shaun</v>
      </c>
      <c r="E22" s="6" t="s">
        <v>93</v>
      </c>
      <c r="F22" s="6" t="s">
        <v>97</v>
      </c>
      <c r="G22" s="33" t="str">
        <f t="array" ref="G22">_xlfn.XLOOKUP(Table94[[#This Row],[Symbol]],Table36[[#All],[Symbol]],Table36[[#All],[Security Description]])</f>
        <v>NETFLIX INC</v>
      </c>
      <c r="H22" s="34">
        <v>41758</v>
      </c>
      <c r="I22" s="35">
        <f>Table94[[#This Row],[Symbol]]&amp;" "&amp;Table94[[#This Row],[Date Acquired]]</f>
        <v>NaN</v>
      </c>
      <c r="J22" s="6">
        <f>2/7</f>
        <v>0.2857142857142857</v>
      </c>
      <c r="K22" s="36">
        <f t="shared" si="0"/>
        <v>314.85999999999996</v>
      </c>
      <c r="L22" s="37">
        <v>44406</v>
      </c>
      <c r="M22" s="6" t="s">
        <v>96</v>
      </c>
      <c r="N22" s="6">
        <v>2</v>
      </c>
      <c r="O22" s="36">
        <f>IF(Table94[[#This Row],[Transaction]]="Closed",Table94[[#This Row],[Proceeds]]/Table94[[#This Row],[Shares Sold]],"")</f>
        <v>514.25</v>
      </c>
      <c r="P22" s="36">
        <v>1028.5</v>
      </c>
    </row>
    <row r="23" ht="14" customHeight="1" hidden="1" spans="2:16" x14ac:dyDescent="0.25">
      <c r="B23" s="6" t="s">
        <v>24</v>
      </c>
      <c r="C23" s="6" t="str">
        <f t="array" ref="C23">_xlfn.XLOOKUP(Table94[[#This Row],[Account]],Table25[[#All],[Account]],Table25[[#All],[Account Type2]])</f>
        <v>Roth IRA</v>
      </c>
      <c r="D23" s="6" t="str">
        <f t="array" ref="D23">_xlfn.XLOOKUP(Table94[[#This Row],[Account]],Table25[[#All],[Account]],Table25[[#All],[Owner]])</f>
        <v>Shaun</v>
      </c>
      <c r="E23" s="6" t="s">
        <v>93</v>
      </c>
      <c r="F23" s="6" t="s">
        <v>97</v>
      </c>
      <c r="G23" s="33" t="str">
        <f t="array" ref="G23">_xlfn.XLOOKUP(Table94[[#This Row],[Symbol]],Table36[[#All],[Symbol]],Table36[[#All],[Security Description]])</f>
        <v>NETFLIX INC</v>
      </c>
      <c r="H23" s="34">
        <v>41758</v>
      </c>
      <c r="I23" s="35">
        <f>Table94[[#This Row],[Symbol]]&amp;" "&amp;Table94[[#This Row],[Date Acquired]]</f>
        <v>NaN</v>
      </c>
      <c r="J23" s="6">
        <f>2/7</f>
        <v>0.2857142857142857</v>
      </c>
      <c r="K23" s="36">
        <f t="shared" si="0"/>
        <v>314.85999999999996</v>
      </c>
      <c r="L23" s="37">
        <v>44564</v>
      </c>
      <c r="M23" s="6" t="s">
        <v>96</v>
      </c>
      <c r="N23" s="6">
        <v>2</v>
      </c>
      <c r="O23" s="36">
        <f>IF(Table94[[#This Row],[Transaction]]="Closed",Table94[[#This Row],[Proceeds]]/Table94[[#This Row],[Shares Sold]],"")</f>
        <v>597.37</v>
      </c>
      <c r="P23" s="36">
        <v>1194.74</v>
      </c>
    </row>
    <row r="24" ht="14" customHeight="1" hidden="1" spans="2:16" x14ac:dyDescent="0.25">
      <c r="B24" s="6" t="s">
        <v>24</v>
      </c>
      <c r="C24" s="6" t="str">
        <f t="array" ref="C24">_xlfn.XLOOKUP(Table94[[#This Row],[Account]],Table25[[#All],[Account]],Table25[[#All],[Account Type2]])</f>
        <v>Roth IRA</v>
      </c>
      <c r="D24" s="6" t="str">
        <f t="array" ref="D24">_xlfn.XLOOKUP(Table94[[#This Row],[Account]],Table25[[#All],[Account]],Table25[[#All],[Owner]])</f>
        <v>Shaun</v>
      </c>
      <c r="E24" s="6" t="s">
        <v>93</v>
      </c>
      <c r="F24" s="6" t="s">
        <v>97</v>
      </c>
      <c r="G24" s="33" t="str">
        <f t="array" ref="G24">_xlfn.XLOOKUP(Table94[[#This Row],[Symbol]],Table36[[#All],[Symbol]],Table36[[#All],[Security Description]])</f>
        <v>NETFLIX INC</v>
      </c>
      <c r="H24" s="34">
        <v>41758</v>
      </c>
      <c r="I24" s="35">
        <f>Table94[[#This Row],[Symbol]]&amp;" "&amp;Table94[[#This Row],[Date Acquired]]</f>
        <v>NaN</v>
      </c>
      <c r="J24" s="6">
        <f>2/7</f>
        <v>0.2857142857142857</v>
      </c>
      <c r="K24" s="36">
        <f t="shared" si="0"/>
        <v>314.85999999999996</v>
      </c>
      <c r="L24" s="37">
        <v>45148</v>
      </c>
      <c r="M24" s="6" t="s">
        <v>96</v>
      </c>
      <c r="N24" s="6">
        <v>2</v>
      </c>
      <c r="O24" s="36">
        <v>429.98</v>
      </c>
      <c r="P24" s="36">
        <v>859.96</v>
      </c>
    </row>
    <row r="25" ht="14" customHeight="1" hidden="1" spans="2:16" x14ac:dyDescent="0.25">
      <c r="B25" s="6" t="s">
        <v>24</v>
      </c>
      <c r="C25" s="6" t="str">
        <f t="array" ref="C25">_xlfn.XLOOKUP(Table94[[#This Row],[Account]],Table25[[#All],[Account]],Table25[[#All],[Account Type2]])</f>
        <v>Roth IRA</v>
      </c>
      <c r="D25" s="6" t="str">
        <f t="array" ref="D25">_xlfn.XLOOKUP(Table94[[#This Row],[Account]],Table25[[#All],[Account]],Table25[[#All],[Owner]])</f>
        <v>Shaun</v>
      </c>
      <c r="E25" s="6" t="s">
        <v>93</v>
      </c>
      <c r="F25" s="6" t="s">
        <v>97</v>
      </c>
      <c r="G25" s="33" t="str">
        <f t="array" ref="G25">_xlfn.XLOOKUP(Table94[[#This Row],[Symbol]],Table36[[#All],[Symbol]],Table36[[#All],[Security Description]])</f>
        <v>NETFLIX INC</v>
      </c>
      <c r="H25" s="34">
        <v>41758</v>
      </c>
      <c r="I25" s="35">
        <f>Table94[[#This Row],[Symbol]]&amp;" "&amp;Table94[[#This Row],[Date Acquired]]</f>
        <v>NaN</v>
      </c>
      <c r="J25" s="6">
        <f>2/7</f>
        <v>0.2857142857142857</v>
      </c>
      <c r="K25" s="36">
        <f t="shared" si="0"/>
        <v>314.85999999999996</v>
      </c>
      <c r="L25" s="37">
        <v>45608</v>
      </c>
      <c r="M25" s="6" t="s">
        <v>96</v>
      </c>
      <c r="N25" s="6">
        <v>2</v>
      </c>
      <c r="O25" s="36">
        <f>IF(Table94[[#This Row],[Transaction]]="Closed",Table94[[#This Row],[Proceeds]]/Table94[[#This Row],[Shares Sold]],"")</f>
        <v>812.605</v>
      </c>
      <c r="P25" s="36">
        <v>1625.21</v>
      </c>
    </row>
    <row r="26" ht="14" customHeight="1" hidden="1" spans="2:16" x14ac:dyDescent="0.25">
      <c r="B26" s="6" t="s">
        <v>24</v>
      </c>
      <c r="C26" s="6" t="str">
        <f t="array" ref="C26">_xlfn.XLOOKUP(Table94[[#This Row],[Account]],Table25[[#All],[Account]],Table25[[#All],[Account Type2]])</f>
        <v>Roth IRA</v>
      </c>
      <c r="D26" s="6" t="str">
        <f t="array" ref="D26">_xlfn.XLOOKUP(Table94[[#This Row],[Account]],Table25[[#All],[Account]],Table25[[#All],[Owner]])</f>
        <v>Shaun</v>
      </c>
      <c r="E26" s="6" t="s">
        <v>93</v>
      </c>
      <c r="F26" s="6" t="s">
        <v>97</v>
      </c>
      <c r="G26" s="33" t="str">
        <f t="array" ref="G26">_xlfn.XLOOKUP(Table94[[#This Row],[Symbol]],Table36[[#All],[Symbol]],Table36[[#All],[Security Description]])</f>
        <v>NETFLIX INC</v>
      </c>
      <c r="H26" s="34">
        <v>41758</v>
      </c>
      <c r="I26" s="35">
        <f>Table94[[#This Row],[Symbol]]&amp;" "&amp;Table94[[#This Row],[Date Acquired]]</f>
        <v>NaN</v>
      </c>
      <c r="J26" s="6">
        <f>1/7</f>
        <v>0.14285714285714285</v>
      </c>
      <c r="K26" s="36">
        <f t="shared" si="0"/>
        <v>314.85999999999996</v>
      </c>
      <c r="L26" s="37">
        <v>45680</v>
      </c>
      <c r="M26" s="6" t="s">
        <v>96</v>
      </c>
      <c r="N26" s="6">
        <v>1</v>
      </c>
      <c r="O26" s="36">
        <f>IF(Table94[[#This Row],[Transaction]]="Closed",Table94[[#This Row],[Proceeds]]/Table94[[#This Row],[Shares Sold]],"")</f>
        <v>984.86</v>
      </c>
      <c r="P26" s="36">
        <v>984.86</v>
      </c>
    </row>
    <row r="27" ht="14" customHeight="1" spans="2:16" x14ac:dyDescent="0.25">
      <c r="B27" s="6" t="s">
        <v>24</v>
      </c>
      <c r="C27" s="6" t="str">
        <f t="array" ref="C27">_xlfn.XLOOKUP(Table94[[#This Row],[Account]],Table25[[#All],[Account]],Table25[[#All],[Account Type2]])</f>
        <v>Roth IRA</v>
      </c>
      <c r="D27" s="6" t="str">
        <f t="array" ref="D27">_xlfn.XLOOKUP(Table94[[#This Row],[Account]],Table25[[#All],[Account]],Table25[[#All],[Owner]])</f>
        <v>Shaun</v>
      </c>
      <c r="E27" s="6" t="s">
        <v>95</v>
      </c>
      <c r="F27" s="6" t="s">
        <v>97</v>
      </c>
      <c r="G27" s="33" t="str">
        <f t="array" ref="G27">_xlfn.XLOOKUP(Table94[[#This Row],[Symbol]],Table36[[#All],[Symbol]],Table36[[#All],[Security Description]])</f>
        <v>NETFLIX INC</v>
      </c>
      <c r="H27" s="34">
        <v>41807</v>
      </c>
      <c r="I27" s="35">
        <f>Table94[[#This Row],[Symbol]]&amp;" "&amp;Table94[[#This Row],[Date Acquired]]</f>
        <v>NaN</v>
      </c>
      <c r="J27" s="6">
        <f>10/70</f>
        <v>0.14285714285714285</v>
      </c>
      <c r="K27" s="36">
        <f>70*6.314</f>
        <v>441.98</v>
      </c>
      <c r="L27" s="37"/>
      <c r="M27" s="6"/>
      <c r="N27" s="6"/>
      <c r="O27" s="36">
        <f>IF(Table94[[#This Row],[Transaction]]="Closed",Table94[[#This Row],[Proceeds]]/Table94[[#This Row],[Shares Sold]],"")</f>
      </c>
      <c r="P27" s="36"/>
    </row>
    <row r="28" ht="14" customHeight="1" hidden="1" spans="2:16" x14ac:dyDescent="0.25">
      <c r="B28" s="6" t="s">
        <v>24</v>
      </c>
      <c r="C28" s="6" t="str">
        <f t="array" ref="C28">_xlfn.XLOOKUP(Table94[[#This Row],[Account]],Table25[[#All],[Account]],Table25[[#All],[Account Type2]])</f>
        <v>Roth IRA</v>
      </c>
      <c r="D28" s="6" t="str">
        <f t="array" ref="D28">_xlfn.XLOOKUP(Table94[[#This Row],[Account]],Table25[[#All],[Account]],Table25[[#All],[Owner]])</f>
        <v>Shaun</v>
      </c>
      <c r="E28" s="6" t="s">
        <v>93</v>
      </c>
      <c r="F28" s="6" t="s">
        <v>97</v>
      </c>
      <c r="G28" s="33" t="str">
        <f t="array" ref="G28">_xlfn.XLOOKUP(Table94[[#This Row],[Symbol]],Table36[[#All],[Symbol]],Table36[[#All],[Security Description]])</f>
        <v>NETFLIX INC</v>
      </c>
      <c r="H28" s="34">
        <v>41807</v>
      </c>
      <c r="I28" s="35">
        <f>Table94[[#This Row],[Symbol]]&amp;" "&amp;Table94[[#This Row],[Date Acquired]]</f>
        <v>NaN</v>
      </c>
      <c r="J28" s="6">
        <f>3/7</f>
        <v>0.42857142857142855</v>
      </c>
      <c r="K28" s="36">
        <f>7*63.14</f>
        <v>441.98</v>
      </c>
      <c r="L28" s="37">
        <v>44074</v>
      </c>
      <c r="M28" s="6"/>
      <c r="N28" s="6">
        <v>3</v>
      </c>
      <c r="O28" s="36">
        <f>IF(Table94[[#This Row],[Transaction]]="Closed",Table94[[#This Row],[Proceeds]]/Table94[[#This Row],[Shares Sold]],"")</f>
        <v>522.9166666666666</v>
      </c>
      <c r="P28" s="36">
        <v>1568.75</v>
      </c>
    </row>
    <row r="29" ht="14" customHeight="1" hidden="1" spans="2:16" x14ac:dyDescent="0.25">
      <c r="B29" s="6" t="s">
        <v>24</v>
      </c>
      <c r="C29" s="6" t="str">
        <f t="array" ref="C29">_xlfn.XLOOKUP(Table94[[#This Row],[Account]],Table25[[#All],[Account]],Table25[[#All],[Account Type2]])</f>
        <v>Roth IRA</v>
      </c>
      <c r="D29" s="6" t="str">
        <f t="array" ref="D29">_xlfn.XLOOKUP(Table94[[#This Row],[Account]],Table25[[#All],[Account]],Table25[[#All],[Owner]])</f>
        <v>Shaun</v>
      </c>
      <c r="E29" s="6" t="s">
        <v>93</v>
      </c>
      <c r="F29" s="6" t="s">
        <v>97</v>
      </c>
      <c r="G29" s="33" t="str">
        <f t="array" ref="G29">_xlfn.XLOOKUP(Table94[[#This Row],[Symbol]],Table36[[#All],[Symbol]],Table36[[#All],[Security Description]])</f>
        <v>NETFLIX INC</v>
      </c>
      <c r="H29" s="34">
        <v>41807</v>
      </c>
      <c r="I29" s="35">
        <f>Table94[[#This Row],[Symbol]]&amp;" "&amp;Table94[[#This Row],[Date Acquired]]</f>
        <v>NaN</v>
      </c>
      <c r="J29" s="6">
        <f>10/7</f>
        <v>1.4285714285714286</v>
      </c>
      <c r="K29" s="36">
        <f>7*63.14</f>
        <v>441.98</v>
      </c>
      <c r="L29" s="37">
        <v>44074</v>
      </c>
      <c r="M29" s="6"/>
      <c r="N29" s="6">
        <v>10</v>
      </c>
      <c r="O29" s="36">
        <f>IF(Table94[[#This Row],[Transaction]]="Closed",Table94[[#This Row],[Proceeds]]/Table94[[#This Row],[Shares Sold]],"")</f>
        <v>529.668</v>
      </c>
      <c r="P29" s="36">
        <v>5296.68</v>
      </c>
    </row>
    <row r="30" ht="14" customHeight="1" spans="2:16" x14ac:dyDescent="0.25">
      <c r="B30" s="6" t="s">
        <v>24</v>
      </c>
      <c r="C30" s="6" t="str">
        <f t="array" ref="C30">_xlfn.XLOOKUP(Table94[[#This Row],[Account]],Table25[[#All],[Account]],Table25[[#All],[Account Type2]])</f>
        <v>Roth IRA</v>
      </c>
      <c r="D30" s="6" t="str">
        <f t="array" ref="D30">_xlfn.XLOOKUP(Table94[[#This Row],[Account]],Table25[[#All],[Account]],Table25[[#All],[Owner]])</f>
        <v>Shaun</v>
      </c>
      <c r="E30" s="6" t="s">
        <v>95</v>
      </c>
      <c r="F30" s="6" t="s">
        <v>97</v>
      </c>
      <c r="G30" s="33" t="str">
        <f t="array" ref="G30">_xlfn.XLOOKUP(Table94[[#This Row],[Symbol]],Table36[[#All],[Symbol]],Table36[[#All],[Security Description]])</f>
        <v>NETFLIX INC</v>
      </c>
      <c r="H30" s="34">
        <v>41988</v>
      </c>
      <c r="I30" s="35">
        <f>Table94[[#This Row],[Symbol]]&amp;" "&amp;Table94[[#This Row],[Date Acquired]]</f>
        <v>NaN</v>
      </c>
      <c r="J30" s="6">
        <f>35/7</f>
        <v>5</v>
      </c>
      <c r="K30" s="36">
        <f>70*4.797</f>
        <v>335.78999999999996</v>
      </c>
      <c r="L30" s="37"/>
      <c r="M30" s="6"/>
      <c r="N30" s="6"/>
      <c r="O30" s="36">
        <f>IF(Table94[[#This Row],[Transaction]]="Closed",Table94[[#This Row],[Proceeds]]/Table94[[#This Row],[Shares Sold]],"")</f>
      </c>
      <c r="P30" s="36"/>
    </row>
    <row r="31" ht="14" customHeight="1" hidden="1" spans="2:16" x14ac:dyDescent="0.25">
      <c r="B31" s="6" t="s">
        <v>24</v>
      </c>
      <c r="C31" s="6" t="str">
        <f t="array" ref="C31">_xlfn.XLOOKUP(Table94[[#This Row],[Account]],Table25[[#All],[Account]],Table25[[#All],[Account Type2]])</f>
        <v>Roth IRA</v>
      </c>
      <c r="D31" s="6" t="str">
        <f t="array" ref="D31">_xlfn.XLOOKUP(Table94[[#This Row],[Account]],Table25[[#All],[Account]],Table25[[#All],[Owner]])</f>
        <v>Shaun</v>
      </c>
      <c r="E31" s="6" t="s">
        <v>93</v>
      </c>
      <c r="F31" s="6" t="s">
        <v>97</v>
      </c>
      <c r="G31" s="33" t="str">
        <f t="array" ref="G31">_xlfn.XLOOKUP(Table94[[#This Row],[Symbol]],Table36[[#All],[Symbol]],Table36[[#All],[Security Description]])</f>
        <v>NETFLIX INC</v>
      </c>
      <c r="H31" s="34">
        <v>42944</v>
      </c>
      <c r="I31" s="35">
        <f>Table94[[#This Row],[Symbol]]&amp;" "&amp;Table94[[#This Row],[Date Acquired]]</f>
        <v>NaN</v>
      </c>
      <c r="J31" s="6">
        <v>16</v>
      </c>
      <c r="K31" s="36">
        <v>184.553125</v>
      </c>
      <c r="L31" s="37">
        <v>44074</v>
      </c>
      <c r="M31" s="6"/>
      <c r="N31" s="6">
        <v>16</v>
      </c>
      <c r="O31" s="36">
        <f>IF(Table94[[#This Row],[Transaction]]="Closed",Table94[[#This Row],[Proceeds]]/Table94[[#This Row],[Shares Sold]],"")</f>
        <v>522.915625</v>
      </c>
      <c r="P31" s="36">
        <v>8366.65</v>
      </c>
    </row>
    <row r="32" ht="14" customHeight="1" hidden="1" spans="2:16" x14ac:dyDescent="0.25">
      <c r="B32" s="6" t="s">
        <v>24</v>
      </c>
      <c r="C32" s="6" t="str">
        <f t="array" ref="C32">_xlfn.XLOOKUP(Table94[[#This Row],[Account]],Table25[[#All],[Account]],Table25[[#All],[Account Type2]])</f>
        <v>Roth IRA</v>
      </c>
      <c r="D32" s="6" t="str">
        <f t="array" ref="D32">_xlfn.XLOOKUP(Table94[[#This Row],[Account]],Table25[[#All],[Account]],Table25[[#All],[Owner]])</f>
        <v>Shaun</v>
      </c>
      <c r="E32" s="6" t="s">
        <v>93</v>
      </c>
      <c r="F32" s="6" t="s">
        <v>97</v>
      </c>
      <c r="G32" s="33" t="str">
        <f t="array" ref="G32">_xlfn.XLOOKUP(Table94[[#This Row],[Symbol]],Table36[[#All],[Symbol]],Table36[[#All],[Security Description]])</f>
        <v>NETFLIX INC</v>
      </c>
      <c r="H32" s="34">
        <v>42944</v>
      </c>
      <c r="I32" s="35">
        <f>Table94[[#This Row],[Symbol]]&amp;" "&amp;Table94[[#This Row],[Date Acquired]]</f>
        <v>NaN</v>
      </c>
      <c r="J32" s="6">
        <v>16</v>
      </c>
      <c r="K32" s="36">
        <v>184.553125</v>
      </c>
      <c r="L32" s="37">
        <v>44074</v>
      </c>
      <c r="M32" s="6"/>
      <c r="N32" s="6">
        <v>16</v>
      </c>
      <c r="O32" s="36">
        <f>IF(Table94[[#This Row],[Transaction]]="Closed",Table94[[#This Row],[Proceeds]]/Table94[[#This Row],[Shares Sold]],"")</f>
        <v>522.915625</v>
      </c>
      <c r="P32" s="36">
        <v>8366.65</v>
      </c>
    </row>
    <row r="33" ht="14" customHeight="1" hidden="1" spans="2:16" x14ac:dyDescent="0.25">
      <c r="B33" s="6" t="s">
        <v>24</v>
      </c>
      <c r="C33" s="6" t="str">
        <f t="array" ref="C33">_xlfn.XLOOKUP(Table94[[#This Row],[Account]],Table25[[#All],[Account]],Table25[[#All],[Account Type2]])</f>
        <v>Roth IRA</v>
      </c>
      <c r="D33" s="6" t="str">
        <f t="array" ref="D33">_xlfn.XLOOKUP(Table94[[#This Row],[Account]],Table25[[#All],[Account]],Table25[[#All],[Owner]])</f>
        <v>Shaun</v>
      </c>
      <c r="E33" s="6" t="s">
        <v>93</v>
      </c>
      <c r="F33" s="6" t="s">
        <v>97</v>
      </c>
      <c r="G33" s="33" t="str">
        <f t="array" ref="G33">_xlfn.XLOOKUP(Table94[[#This Row],[Symbol]],Table36[[#All],[Symbol]],Table36[[#All],[Security Description]])</f>
        <v>NETFLIX INC</v>
      </c>
      <c r="H33" s="34">
        <v>43837</v>
      </c>
      <c r="I33" s="35">
        <f>Table94[[#This Row],[Symbol]]&amp;" "&amp;Table94[[#This Row],[Date Acquired]]</f>
        <v>NaN</v>
      </c>
      <c r="J33" s="6">
        <v>8</v>
      </c>
      <c r="K33" s="36">
        <v>333.13</v>
      </c>
      <c r="L33" s="37">
        <v>44074</v>
      </c>
      <c r="M33" s="6"/>
      <c r="N33" s="6">
        <v>8</v>
      </c>
      <c r="O33" s="36">
        <f>IF(Table94[[#This Row],[Transaction]]="Closed",Table94[[#This Row],[Proceeds]]/Table94[[#This Row],[Shares Sold]],"")</f>
        <v>522.91625</v>
      </c>
      <c r="P33" s="36">
        <v>4183.33</v>
      </c>
    </row>
    <row r="34" ht="14" customHeight="1" spans="2:16" x14ac:dyDescent="0.25">
      <c r="B34" s="6" t="s">
        <v>24</v>
      </c>
      <c r="C34" s="6" t="str">
        <f t="array" ref="C34">_xlfn.XLOOKUP(Table94[[#This Row],[Account]],Table25[[#All],[Account]],Table25[[#All],[Account Type2]])</f>
        <v>Roth IRA</v>
      </c>
      <c r="D34" s="6" t="str">
        <f t="array" ref="D34">_xlfn.XLOOKUP(Table94[[#This Row],[Account]],Table25[[#All],[Account]],Table25[[#All],[Owner]])</f>
        <v>Shaun</v>
      </c>
      <c r="E34" s="6" t="s">
        <v>95</v>
      </c>
      <c r="F34" s="6" t="s">
        <v>97</v>
      </c>
      <c r="G34" s="33" t="str">
        <f t="array" ref="G34">_xlfn.XLOOKUP(Table94[[#This Row],[Symbol]],Table36[[#All],[Symbol]],Table36[[#All],[Security Description]])</f>
        <v>NETFLIX INC</v>
      </c>
      <c r="H34" s="34">
        <v>44021</v>
      </c>
      <c r="I34" s="35">
        <f>Table94[[#This Row],[Symbol]]&amp;" "&amp;Table94[[#This Row],[Date Acquired]]</f>
        <v>NaN</v>
      </c>
      <c r="J34" s="6">
        <f>10</f>
        <v>10</v>
      </c>
      <c r="K34" s="36">
        <f>10*50.473</f>
        <v>504.73</v>
      </c>
      <c r="L34" s="37"/>
      <c r="M34" s="6"/>
      <c r="N34" s="6"/>
      <c r="O34" s="36">
        <f>IF(Table94[[#This Row],[Transaction]]="Closed",Table94[[#This Row],[Proceeds]]/Table94[[#This Row],[Shares Sold]],"")</f>
      </c>
      <c r="P34" s="36"/>
    </row>
    <row r="35" ht="14" customHeight="1" spans="2:16" x14ac:dyDescent="0.25">
      <c r="B35" s="6" t="s">
        <v>24</v>
      </c>
      <c r="C35" s="6" t="str">
        <f t="array" ref="C35">_xlfn.XLOOKUP(Table94[[#This Row],[Account]],Table25[[#All],[Account]],Table25[[#All],[Account Type2]])</f>
        <v>Roth IRA</v>
      </c>
      <c r="D35" s="6" t="str">
        <f t="array" ref="D35">_xlfn.XLOOKUP(Table94[[#This Row],[Account]],Table25[[#All],[Account]],Table25[[#All],[Owner]])</f>
        <v>Shaun</v>
      </c>
      <c r="E35" s="6" t="s">
        <v>95</v>
      </c>
      <c r="F35" s="6" t="s">
        <v>97</v>
      </c>
      <c r="G35" s="33" t="str">
        <f t="array" ref="G35">_xlfn.XLOOKUP(Table94[[#This Row],[Symbol]],Table36[[#All],[Symbol]],Table36[[#All],[Security Description]])</f>
        <v>NETFLIX INC</v>
      </c>
      <c r="H35" s="34">
        <v>44564</v>
      </c>
      <c r="I35" s="35">
        <f>Table94[[#This Row],[Symbol]]&amp;" "&amp;Table94[[#This Row],[Date Acquired]]</f>
        <v>NaN</v>
      </c>
      <c r="J35" s="6">
        <f>2</f>
        <v>2</v>
      </c>
      <c r="K35" s="36">
        <f>10*60.561</f>
        <v>605.61</v>
      </c>
      <c r="L35" s="37"/>
      <c r="M35" s="6"/>
      <c r="N35" s="6"/>
      <c r="O35" s="36">
        <f>IF(Table94[[#This Row],[Transaction]]="Closed",Table94[[#This Row],[Proceeds]]/Table94[[#This Row],[Shares Sold]],"")</f>
      </c>
      <c r="P35" s="36"/>
    </row>
    <row r="36" ht="14" customHeight="1" spans="2:16" x14ac:dyDescent="0.25">
      <c r="B36" s="6" t="s">
        <v>26</v>
      </c>
      <c r="C36" s="6" t="str">
        <f t="array" ref="C36">_xlfn.XLOOKUP(Table94[[#This Row],[Account]],Table25[[#All],[Account]],Table25[[#All],[Account Type2]])</f>
        <v>HSA</v>
      </c>
      <c r="D36" s="6" t="str">
        <f t="array" ref="D36">_xlfn.XLOOKUP(Table94[[#This Row],[Account]],Table25[[#All],[Account]],Table25[[#All],[Owner]])</f>
        <v>Jackson</v>
      </c>
      <c r="E36" s="6" t="s">
        <v>95</v>
      </c>
      <c r="F36" s="6" t="s">
        <v>98</v>
      </c>
      <c r="G36" s="33" t="str">
        <f t="array" ref="G36">_xlfn.XLOOKUP(Table94[[#This Row],[Symbol]],Table36[[#All],[Symbol]],Table36[[#All],[Security Description]])</f>
        <v>VANGUARD INDEX FUNDS S&amp;P 500 ETF USD</v>
      </c>
      <c r="H36" s="34">
        <v>45916</v>
      </c>
      <c r="I36" s="35">
        <f>Table94[[#This Row],[Symbol]]&amp;" "&amp;Table94[[#This Row],[Date Acquired]]</f>
        <v>NaN</v>
      </c>
      <c r="J36" s="6">
        <v>0.164</v>
      </c>
      <c r="K36" s="36">
        <v>607.01</v>
      </c>
      <c r="L36" s="37"/>
      <c r="M36" s="6"/>
      <c r="N36" s="6"/>
      <c r="O36" s="36">
        <f>IF(Table94[[#This Row],[Transaction]]="Closed",Table94[[#This Row],[Proceeds]]/Table94[[#This Row],[Shares Sold]],"")</f>
      </c>
      <c r="P36" s="36"/>
    </row>
    <row r="37" ht="14" customHeight="1" spans="2:16" x14ac:dyDescent="0.25">
      <c r="B37" s="6" t="s">
        <v>26</v>
      </c>
      <c r="C37" s="6" t="str">
        <f t="array" ref="C37">_xlfn.XLOOKUP(Table94[[#This Row],[Account]],Table25[[#All],[Account]],Table25[[#All],[Account Type2]])</f>
        <v>HSA</v>
      </c>
      <c r="D37" s="6" t="str">
        <f t="array" ref="D37">_xlfn.XLOOKUP(Table94[[#This Row],[Account]],Table25[[#All],[Account]],Table25[[#All],[Owner]])</f>
        <v>Jackson</v>
      </c>
      <c r="E37" s="6" t="s">
        <v>95</v>
      </c>
      <c r="F37" s="6" t="s">
        <v>98</v>
      </c>
      <c r="G37" s="33" t="str">
        <f t="array" ref="G37">_xlfn.XLOOKUP(Table94[[#This Row],[Symbol]],Table36[[#All],[Symbol]],Table36[[#All],[Security Description]])</f>
        <v>VANGUARD INDEX FUNDS S&amp;P 500 ETF USD</v>
      </c>
      <c r="H37" s="34">
        <v>45917</v>
      </c>
      <c r="I37" s="35">
        <f>Table94[[#This Row],[Symbol]]&amp;" "&amp;Table94[[#This Row],[Date Acquired]]</f>
        <v>NaN</v>
      </c>
      <c r="J37" s="6">
        <v>0.659</v>
      </c>
      <c r="K37" s="36">
        <v>606.4</v>
      </c>
      <c r="L37" s="37"/>
      <c r="M37" s="6"/>
      <c r="N37" s="6"/>
      <c r="O37" s="36">
        <f>IF(Table94[[#This Row],[Transaction]]="Closed",Table94[[#This Row],[Proceeds]]/Table94[[#This Row],[Shares Sold]],"")</f>
      </c>
      <c r="P37" s="36"/>
    </row>
    <row r="38" ht="14" customHeight="1" spans="2:16" x14ac:dyDescent="0.25">
      <c r="B38" s="6" t="s">
        <v>26</v>
      </c>
      <c r="C38" s="6" t="str">
        <f t="array" ref="C38">_xlfn.XLOOKUP(Table94[[#This Row],[Account]],Table25[[#All],[Account]],Table25[[#All],[Account Type2]])</f>
        <v>HSA</v>
      </c>
      <c r="D38" s="6" t="str">
        <f t="array" ref="D38">_xlfn.XLOOKUP(Table94[[#This Row],[Account]],Table25[[#All],[Account]],Table25[[#All],[Owner]])</f>
        <v>Jackson</v>
      </c>
      <c r="E38" s="6" t="s">
        <v>95</v>
      </c>
      <c r="F38" s="6" t="s">
        <v>98</v>
      </c>
      <c r="G38" s="33" t="str">
        <f t="array" ref="G38">_xlfn.XLOOKUP(Table94[[#This Row],[Symbol]],Table36[[#All],[Symbol]],Table36[[#All],[Security Description]])</f>
        <v>VANGUARD INDEX FUNDS S&amp;P 500 ETF USD</v>
      </c>
      <c r="H38" s="34">
        <v>45919</v>
      </c>
      <c r="I38" s="35">
        <f>Table94[[#This Row],[Symbol]]&amp;" "&amp;Table94[[#This Row],[Date Acquired]]</f>
        <v>NaN</v>
      </c>
      <c r="J38" s="6">
        <v>0.04</v>
      </c>
      <c r="K38" s="36">
        <v>610.25</v>
      </c>
      <c r="L38" s="37"/>
      <c r="M38" s="6"/>
      <c r="N38" s="6"/>
      <c r="O38" s="36">
        <f>IF(Table94[[#This Row],[Transaction]]="Closed",Table94[[#This Row],[Proceeds]]/Table94[[#This Row],[Shares Sold]],"")</f>
      </c>
      <c r="P38" s="36"/>
    </row>
    <row r="39" ht="14" customHeight="1" spans="2:16" x14ac:dyDescent="0.25">
      <c r="B39" s="6" t="s">
        <v>26</v>
      </c>
      <c r="C39" s="6" t="str">
        <f t="array" ref="C39">_xlfn.XLOOKUP(Table94[[#This Row],[Account]],Table25[[#All],[Account]],Table25[[#All],[Account Type2]])</f>
        <v>HSA</v>
      </c>
      <c r="D39" s="6" t="str">
        <f t="array" ref="D39">_xlfn.XLOOKUP(Table94[[#This Row],[Account]],Table25[[#All],[Account]],Table25[[#All],[Owner]])</f>
        <v>Jackson</v>
      </c>
      <c r="E39" s="6" t="s">
        <v>95</v>
      </c>
      <c r="F39" s="6" t="s">
        <v>98</v>
      </c>
      <c r="G39" s="33" t="str">
        <f t="array" ref="G39">_xlfn.XLOOKUP(Table94[[#This Row],[Symbol]],Table36[[#All],[Symbol]],Table36[[#All],[Security Description]])</f>
        <v>VANGUARD INDEX FUNDS S&amp;P 500 ETF USD</v>
      </c>
      <c r="H39" s="34">
        <v>45923</v>
      </c>
      <c r="I39" s="35">
        <f>Table94[[#This Row],[Symbol]]&amp;" "&amp;Table94[[#This Row],[Date Acquired]]</f>
        <v>NaN</v>
      </c>
      <c r="J39" s="6">
        <v>0.162</v>
      </c>
      <c r="K39" s="36">
        <v>614.93</v>
      </c>
      <c r="L39" s="37"/>
      <c r="M39" s="6"/>
      <c r="N39" s="6"/>
      <c r="O39" s="36">
        <f>IF(Table94[[#This Row],[Transaction]]="Closed",Table94[[#This Row],[Proceeds]]/Table94[[#This Row],[Shares Sold]],"")</f>
      </c>
      <c r="P39" s="36"/>
    </row>
    <row r="40" ht="14" customHeight="1" spans="2:16" x14ac:dyDescent="0.25">
      <c r="B40" s="6" t="s">
        <v>26</v>
      </c>
      <c r="C40" s="6" t="str">
        <f t="array" ref="C40">_xlfn.XLOOKUP(Table94[[#This Row],[Account]],Table25[[#All],[Account]],Table25[[#All],[Account Type2]])</f>
        <v>HSA</v>
      </c>
      <c r="D40" s="6" t="str">
        <f t="array" ref="D40">_xlfn.XLOOKUP(Table94[[#This Row],[Account]],Table25[[#All],[Account]],Table25[[#All],[Owner]])</f>
        <v>Jackson</v>
      </c>
      <c r="E40" s="6" t="s">
        <v>95</v>
      </c>
      <c r="F40" s="6" t="s">
        <v>98</v>
      </c>
      <c r="G40" s="33" t="str">
        <f t="array" ref="G40">_xlfn.XLOOKUP(Table94[[#This Row],[Symbol]],Table36[[#All],[Symbol]],Table36[[#All],[Security Description]])</f>
        <v>VANGUARD INDEX FUNDS S&amp;P 500 ETF USD</v>
      </c>
      <c r="H40" s="34">
        <v>45924</v>
      </c>
      <c r="I40" s="35">
        <f>Table94[[#This Row],[Symbol]]&amp;" "&amp;Table94[[#This Row],[Date Acquired]]</f>
        <v>NaN</v>
      </c>
      <c r="J40" s="6">
        <v>0.654</v>
      </c>
      <c r="K40" s="36">
        <v>611.31</v>
      </c>
      <c r="L40" s="37"/>
      <c r="M40" s="6"/>
      <c r="N40" s="6"/>
      <c r="O40" s="36">
        <f>IF(Table94[[#This Row],[Transaction]]="Closed",Table94[[#This Row],[Proceeds]]/Table94[[#This Row],[Shares Sold]],"")</f>
      </c>
      <c r="P40" s="36"/>
    </row>
    <row r="41" ht="14" customHeight="1" spans="2:16" x14ac:dyDescent="0.25">
      <c r="B41" s="6" t="s">
        <v>26</v>
      </c>
      <c r="C41" s="6" t="str">
        <f t="array" ref="C41">_xlfn.XLOOKUP(Table94[[#This Row],[Account]],Table25[[#All],[Account]],Table25[[#All],[Account Type2]])</f>
        <v>HSA</v>
      </c>
      <c r="D41" s="6" t="str">
        <f t="array" ref="D41">_xlfn.XLOOKUP(Table94[[#This Row],[Account]],Table25[[#All],[Account]],Table25[[#All],[Owner]])</f>
        <v>Jackson</v>
      </c>
      <c r="E41" s="6" t="s">
        <v>95</v>
      </c>
      <c r="F41" s="6" t="s">
        <v>98</v>
      </c>
      <c r="G41" s="33" t="str">
        <f t="array" ref="G41">_xlfn.XLOOKUP(Table94[[#This Row],[Symbol]],Table36[[#All],[Symbol]],Table36[[#All],[Security Description]])</f>
        <v>VANGUARD INDEX FUNDS S&amp;P 500 ETF USD</v>
      </c>
      <c r="H41" s="34">
        <v>45926</v>
      </c>
      <c r="I41" s="35">
        <f>Table94[[#This Row],[Symbol]]&amp;" "&amp;Table94[[#This Row],[Date Acquired]]</f>
        <v>NaN</v>
      </c>
      <c r="J41" s="6">
        <v>0.04</v>
      </c>
      <c r="K41" s="36">
        <v>610.25</v>
      </c>
      <c r="L41" s="37"/>
      <c r="M41" s="6"/>
      <c r="N41" s="6"/>
      <c r="O41" s="36">
        <f>IF(Table94[[#This Row],[Transaction]]="Closed",Table94[[#This Row],[Proceeds]]/Table94[[#This Row],[Shares Sold]],"")</f>
      </c>
      <c r="P41" s="36"/>
    </row>
    <row r="42" ht="14" customHeight="1" spans="2:16" x14ac:dyDescent="0.25">
      <c r="B42" s="6" t="s">
        <v>26</v>
      </c>
      <c r="C42" s="6" t="str">
        <f t="array" ref="C42">_xlfn.XLOOKUP(Table94[[#This Row],[Account]],Table25[[#All],[Account]],Table25[[#All],[Account Type2]])</f>
        <v>HSA</v>
      </c>
      <c r="D42" s="6" t="str">
        <f t="array" ref="D42">_xlfn.XLOOKUP(Table94[[#This Row],[Account]],Table25[[#All],[Account]],Table25[[#All],[Owner]])</f>
        <v>Jackson</v>
      </c>
      <c r="E42" s="6" t="s">
        <v>95</v>
      </c>
      <c r="F42" s="6" t="s">
        <v>98</v>
      </c>
      <c r="G42" s="33" t="str">
        <f t="array" ref="G42">_xlfn.XLOOKUP(Table94[[#This Row],[Symbol]],Table36[[#All],[Symbol]],Table36[[#All],[Security Description]])</f>
        <v>VANGUARD INDEX FUNDS S&amp;P 500 ETF USD</v>
      </c>
      <c r="H42" s="34">
        <v>45930</v>
      </c>
      <c r="I42" s="35">
        <f>Table94[[#This Row],[Symbol]]&amp;" "&amp;Table94[[#This Row],[Date Acquired]]</f>
        <v>NaN</v>
      </c>
      <c r="J42" s="6">
        <v>0.1631</v>
      </c>
      <c r="K42" s="36">
        <v>612.38</v>
      </c>
      <c r="L42" s="37"/>
      <c r="M42" s="6"/>
      <c r="N42" s="6"/>
      <c r="O42" s="36">
        <f>IF(Table94[[#This Row],[Transaction]]="Closed",Table94[[#This Row],[Proceeds]]/Table94[[#This Row],[Shares Sold]],"")</f>
      </c>
      <c r="P42" s="36"/>
    </row>
    <row r="43" ht="14" customHeight="1" spans="2:16" x14ac:dyDescent="0.25">
      <c r="B43" s="6" t="s">
        <v>26</v>
      </c>
      <c r="C43" s="6" t="str">
        <f t="array" ref="C43">_xlfn.XLOOKUP(Table94[[#This Row],[Account]],Table25[[#All],[Account]],Table25[[#All],[Account Type2]])</f>
        <v>HSA</v>
      </c>
      <c r="D43" s="6" t="str">
        <f t="array" ref="D43">_xlfn.XLOOKUP(Table94[[#This Row],[Account]],Table25[[#All],[Account]],Table25[[#All],[Owner]])</f>
        <v>Jackson</v>
      </c>
      <c r="E43" s="6" t="s">
        <v>95</v>
      </c>
      <c r="F43" s="6" t="s">
        <v>98</v>
      </c>
      <c r="G43" s="33" t="str">
        <f t="array" ref="G43">_xlfn.XLOOKUP(Table94[[#This Row],[Symbol]],Table36[[#All],[Symbol]],Table36[[#All],[Security Description]])</f>
        <v>VANGUARD INDEX FUNDS S&amp;P 500 ETF USD</v>
      </c>
      <c r="H43" s="34">
        <v>45931</v>
      </c>
      <c r="I43" s="35">
        <f>Table94[[#This Row],[Symbol]]&amp;" "&amp;Table94[[#This Row],[Date Acquired]]</f>
        <v>NaN</v>
      </c>
      <c r="J43" s="6">
        <f>0.582+0.071</f>
        <v>0.6529999999999999</v>
      </c>
      <c r="K43" s="36">
        <v>611.9</v>
      </c>
      <c r="L43" s="37"/>
      <c r="M43" s="6"/>
      <c r="N43" s="6"/>
      <c r="O43" s="36">
        <f>IF(Table94[[#This Row],[Transaction]]="Closed",Table94[[#This Row],[Proceeds]]/Table94[[#This Row],[Shares Sold]],"")</f>
      </c>
      <c r="P43" s="36"/>
    </row>
    <row r="44" ht="14" customHeight="1" spans="2:16" x14ac:dyDescent="0.25">
      <c r="B44" s="6" t="s">
        <v>26</v>
      </c>
      <c r="C44" s="6" t="str">
        <f t="array" ref="C44">_xlfn.XLOOKUP(Table94[[#This Row],[Account]],Table25[[#All],[Account]],Table25[[#All],[Account Type2]])</f>
        <v>HSA</v>
      </c>
      <c r="D44" s="6" t="str">
        <f t="array" ref="D44">_xlfn.XLOOKUP(Table94[[#This Row],[Account]],Table25[[#All],[Account]],Table25[[#All],[Owner]])</f>
        <v>Jackson</v>
      </c>
      <c r="E44" s="6" t="s">
        <v>95</v>
      </c>
      <c r="F44" s="6" t="s">
        <v>98</v>
      </c>
      <c r="G44" s="33" t="str">
        <f t="array" ref="G44">_xlfn.XLOOKUP(Table94[[#This Row],[Symbol]],Table36[[#All],[Symbol]],Table36[[#All],[Security Description]])</f>
        <v>VANGUARD INDEX FUNDS S&amp;P 500 ETF USD</v>
      </c>
      <c r="H44" s="34">
        <v>45933</v>
      </c>
      <c r="I44" s="35">
        <f>Table94[[#This Row],[Symbol]]&amp;" "&amp;Table94[[#This Row],[Date Acquired]]</f>
        <v>NaN</v>
      </c>
      <c r="J44" s="6">
        <v>0.04</v>
      </c>
      <c r="K44" s="36">
        <v>616.5</v>
      </c>
      <c r="L44" s="37"/>
      <c r="M44" s="6"/>
      <c r="N44" s="6"/>
      <c r="O44" s="36">
        <f>IF(Table94[[#This Row],[Transaction]]="Closed",Table94[[#This Row],[Proceeds]]/Table94[[#This Row],[Shares Sold]],"")</f>
      </c>
      <c r="P44" s="36"/>
    </row>
    <row r="45" ht="14" customHeight="1" spans="2:16" x14ac:dyDescent="0.25">
      <c r="B45" s="6" t="s">
        <v>26</v>
      </c>
      <c r="C45" s="6" t="str">
        <f t="array" ref="C45">_xlfn.XLOOKUP(Table94[[#This Row],[Account]],Table25[[#All],[Account]],Table25[[#All],[Account Type2]])</f>
        <v>HSA</v>
      </c>
      <c r="D45" s="6" t="str">
        <f t="array" ref="D45">_xlfn.XLOOKUP(Table94[[#This Row],[Account]],Table25[[#All],[Account]],Table25[[#All],[Owner]])</f>
        <v>Jackson</v>
      </c>
      <c r="E45" s="6" t="s">
        <v>95</v>
      </c>
      <c r="F45" s="6" t="s">
        <v>98</v>
      </c>
      <c r="G45" s="33" t="str">
        <f t="array" ref="G45">_xlfn.XLOOKUP(Table94[[#This Row],[Symbol]],Table36[[#All],[Symbol]],Table36[[#All],[Security Description]])</f>
        <v>VANGUARD INDEX FUNDS S&amp;P 500 ETF USD</v>
      </c>
      <c r="H45" s="34">
        <v>45937</v>
      </c>
      <c r="I45" s="35">
        <f>Table94[[#This Row],[Symbol]]&amp;" "&amp;Table94[[#This Row],[Date Acquired]]</f>
        <v>NaN</v>
      </c>
      <c r="J45" s="6">
        <v>0.161</v>
      </c>
      <c r="K45" s="36">
        <v>617.826</v>
      </c>
      <c r="L45" s="37"/>
      <c r="M45" s="6"/>
      <c r="N45" s="6"/>
      <c r="O45" s="36">
        <f>IF(Table94[[#This Row],[Transaction]]="Closed",Table94[[#This Row],[Proceeds]]/Table94[[#This Row],[Shares Sold]],"")</f>
      </c>
      <c r="P45" s="36"/>
    </row>
    <row r="46" ht="14" customHeight="1" spans="2:16" x14ac:dyDescent="0.25">
      <c r="B46" s="6" t="s">
        <v>26</v>
      </c>
      <c r="C46" s="6" t="str">
        <f t="array" ref="C46">_xlfn.XLOOKUP(Table94[[#This Row],[Account]],Table25[[#All],[Account]],Table25[[#All],[Account Type2]])</f>
        <v>HSA</v>
      </c>
      <c r="D46" s="6" t="str">
        <f t="array" ref="D46">_xlfn.XLOOKUP(Table94[[#This Row],[Account]],Table25[[#All],[Account]],Table25[[#All],[Owner]])</f>
        <v>Jackson</v>
      </c>
      <c r="E46" s="6" t="s">
        <v>95</v>
      </c>
      <c r="F46" s="6" t="s">
        <v>98</v>
      </c>
      <c r="G46" s="33" t="str">
        <f t="array" ref="G46">_xlfn.XLOOKUP(Table94[[#This Row],[Symbol]],Table36[[#All],[Symbol]],Table36[[#All],[Security Description]])</f>
        <v>VANGUARD INDEX FUNDS S&amp;P 500 ETF USD</v>
      </c>
      <c r="H46" s="34">
        <v>45938</v>
      </c>
      <c r="I46" s="35">
        <f>Table94[[#This Row],[Symbol]]&amp;" "&amp;Table94[[#This Row],[Date Acquired]]</f>
        <v>NaN</v>
      </c>
      <c r="J46" s="6">
        <f>0.132+0.515</f>
        <v>0.647</v>
      </c>
      <c r="K46" s="36">
        <v>617.4</v>
      </c>
      <c r="L46" s="37"/>
      <c r="M46" s="6"/>
      <c r="N46" s="6"/>
      <c r="O46" s="36">
        <f>IF(Table94[[#This Row],[Transaction]]="Closed",Table94[[#This Row],[Proceeds]]/Table94[[#This Row],[Shares Sold]],"")</f>
      </c>
      <c r="P46" s="36"/>
    </row>
    <row r="47" ht="14" customHeight="1" spans="2:16" x14ac:dyDescent="0.25">
      <c r="B47" s="6" t="s">
        <v>26</v>
      </c>
      <c r="C47" s="6" t="str">
        <f t="array" ref="C47">_xlfn.XLOOKUP(Table94[[#This Row],[Account]],Table25[[#All],[Account]],Table25[[#All],[Account Type2]])</f>
        <v>HSA</v>
      </c>
      <c r="D47" s="6" t="str">
        <f t="array" ref="D47">_xlfn.XLOOKUP(Table94[[#This Row],[Account]],Table25[[#All],[Account]],Table25[[#All],[Owner]])</f>
        <v>Jackson</v>
      </c>
      <c r="E47" s="6" t="s">
        <v>95</v>
      </c>
      <c r="F47" s="6" t="s">
        <v>98</v>
      </c>
      <c r="G47" s="33" t="str">
        <f t="array" ref="G47">_xlfn.XLOOKUP(Table94[[#This Row],[Symbol]],Table36[[#All],[Symbol]],Table36[[#All],[Security Description]])</f>
        <v>VANGUARD INDEX FUNDS S&amp;P 500 ETF USD</v>
      </c>
      <c r="H47" s="34">
        <v>45940</v>
      </c>
      <c r="I47" s="35">
        <f>Table94[[#This Row],[Symbol]]&amp;" "&amp;Table94[[#This Row],[Date Acquired]]</f>
        <v>NaN</v>
      </c>
      <c r="J47" s="6">
        <v>0.04</v>
      </c>
      <c r="K47" s="36">
        <v>618.25</v>
      </c>
      <c r="L47" s="37"/>
      <c r="M47" s="6"/>
      <c r="N47" s="6"/>
      <c r="O47" s="36">
        <f>IF(Table94[[#This Row],[Transaction]]="Closed",Table94[[#This Row],[Proceeds]]/Table94[[#This Row],[Shares Sold]],"")</f>
      </c>
      <c r="P47" s="36"/>
    </row>
    <row r="48" ht="14" customHeight="1" spans="2:16" x14ac:dyDescent="0.25">
      <c r="B48" s="6" t="s">
        <v>26</v>
      </c>
      <c r="C48" s="6" t="str">
        <f t="array" ref="C48">_xlfn.XLOOKUP(Table94[[#This Row],[Account]],Table25[[#All],[Account]],Table25[[#All],[Account Type2]])</f>
        <v>HSA</v>
      </c>
      <c r="D48" s="6" t="str">
        <f t="array" ref="D48">_xlfn.XLOOKUP(Table94[[#This Row],[Account]],Table25[[#All],[Account]],Table25[[#All],[Owner]])</f>
        <v>Jackson</v>
      </c>
      <c r="E48" s="6" t="s">
        <v>95</v>
      </c>
      <c r="F48" s="6" t="s">
        <v>98</v>
      </c>
      <c r="G48" s="33" t="str">
        <f t="array" ref="G48">_xlfn.XLOOKUP(Table94[[#This Row],[Symbol]],Table36[[#All],[Symbol]],Table36[[#All],[Security Description]])</f>
        <v>VANGUARD INDEX FUNDS S&amp;P 500 ETF USD</v>
      </c>
      <c r="H48" s="34">
        <v>45944</v>
      </c>
      <c r="I48" s="35">
        <f>Table94[[#This Row],[Symbol]]&amp;" "&amp;Table94[[#This Row],[Date Acquired]]</f>
        <v>NaN</v>
      </c>
      <c r="J48" s="6">
        <v>0.165</v>
      </c>
      <c r="K48" s="36">
        <v>605.9393</v>
      </c>
      <c r="L48" s="37"/>
      <c r="M48" s="6"/>
      <c r="N48" s="6"/>
      <c r="O48" s="36">
        <f>IF(Table94[[#This Row],[Transaction]]="Closed",Table94[[#This Row],[Proceeds]]/Table94[[#This Row],[Shares Sold]],"")</f>
      </c>
      <c r="P48" s="36"/>
    </row>
    <row r="49" ht="14" customHeight="1" spans="2:16" x14ac:dyDescent="0.25">
      <c r="B49" s="6" t="s">
        <v>26</v>
      </c>
      <c r="C49" s="6" t="str">
        <f t="array" ref="C49">_xlfn.XLOOKUP(Table94[[#This Row],[Account]],Table25[[#All],[Account]],Table25[[#All],[Account Type2]])</f>
        <v>HSA</v>
      </c>
      <c r="D49" s="6" t="str">
        <f t="array" ref="D49">_xlfn.XLOOKUP(Table94[[#This Row],[Account]],Table25[[#All],[Account]],Table25[[#All],[Owner]])</f>
        <v>Jackson</v>
      </c>
      <c r="E49" s="6" t="s">
        <v>95</v>
      </c>
      <c r="F49" s="6" t="s">
        <v>98</v>
      </c>
      <c r="G49" s="33" t="str">
        <f t="array" ref="G49">_xlfn.XLOOKUP(Table94[[#This Row],[Symbol]],Table36[[#All],[Symbol]],Table36[[#All],[Security Description]])</f>
        <v>VANGUARD INDEX FUNDS S&amp;P 500 ETF USD</v>
      </c>
      <c r="H49" s="34">
        <v>45945</v>
      </c>
      <c r="I49" s="35">
        <f>Table94[[#This Row],[Symbol]]&amp;" "&amp;Table94[[#This Row],[Date Acquired]]</f>
        <v>NaN</v>
      </c>
      <c r="J49" s="6">
        <v>0.649</v>
      </c>
      <c r="K49" s="36">
        <v>615.74</v>
      </c>
      <c r="L49" s="37"/>
      <c r="M49" s="6"/>
      <c r="N49" s="6"/>
      <c r="O49" s="36">
        <f>IF(Table94[[#This Row],[Transaction]]="Closed",Table94[[#This Row],[Proceeds]]/Table94[[#This Row],[Shares Sold]],"")</f>
      </c>
      <c r="P49" s="36"/>
    </row>
    <row r="50" ht="14" customHeight="1" spans="2:16" x14ac:dyDescent="0.25">
      <c r="B50" s="6" t="s">
        <v>26</v>
      </c>
      <c r="C50" s="6" t="str">
        <f t="array" ref="C50">_xlfn.XLOOKUP(Table94[[#This Row],[Account]],Table25[[#All],[Account]],Table25[[#All],[Account Type2]])</f>
        <v>HSA</v>
      </c>
      <c r="D50" s="6" t="str">
        <f t="array" ref="D50">_xlfn.XLOOKUP(Table94[[#This Row],[Account]],Table25[[#All],[Account]],Table25[[#All],[Owner]])</f>
        <v>Jackson</v>
      </c>
      <c r="E50" s="6" t="s">
        <v>95</v>
      </c>
      <c r="F50" s="6" t="s">
        <v>98</v>
      </c>
      <c r="G50" s="33" t="str">
        <f t="array" ref="G50">_xlfn.XLOOKUP(Table94[[#This Row],[Symbol]],Table36[[#All],[Symbol]],Table36[[#All],[Security Description]])</f>
        <v>VANGUARD INDEX FUNDS S&amp;P 500 ETF USD</v>
      </c>
      <c r="H50" s="34">
        <v>45947</v>
      </c>
      <c r="I50" s="35">
        <f>Table94[[#This Row],[Symbol]]&amp;" "&amp;Table94[[#This Row],[Date Acquired]]</f>
        <v>NaN</v>
      </c>
      <c r="J50" s="6">
        <v>0.041</v>
      </c>
      <c r="K50" s="36">
        <v>608.5365</v>
      </c>
      <c r="L50" s="37"/>
      <c r="M50" s="6"/>
      <c r="N50" s="6"/>
      <c r="O50" s="36">
        <f>IF(Table94[[#This Row],[Transaction]]="Closed",Table94[[#This Row],[Proceeds]]/Table94[[#This Row],[Shares Sold]],"")</f>
      </c>
      <c r="P50" s="36"/>
    </row>
    <row r="51" ht="14" customHeight="1" spans="2:16" x14ac:dyDescent="0.25">
      <c r="B51" s="6" t="s">
        <v>26</v>
      </c>
      <c r="C51" s="6" t="str">
        <f t="array" ref="C51">_xlfn.XLOOKUP(Table94[[#This Row],[Account]],Table25[[#All],[Account]],Table25[[#All],[Account Type2]])</f>
        <v>HSA</v>
      </c>
      <c r="D51" s="6" t="str">
        <f t="array" ref="D51">_xlfn.XLOOKUP(Table94[[#This Row],[Account]],Table25[[#All],[Account]],Table25[[#All],[Owner]])</f>
        <v>Jackson</v>
      </c>
      <c r="E51" s="6" t="s">
        <v>95</v>
      </c>
      <c r="F51" s="6" t="s">
        <v>98</v>
      </c>
      <c r="G51" s="33" t="str">
        <f t="array" ref="G51">_xlfn.XLOOKUP(Table94[[#This Row],[Symbol]],Table36[[#All],[Symbol]],Table36[[#All],[Security Description]])</f>
        <v>VANGUARD INDEX FUNDS S&amp;P 500 ETF USD</v>
      </c>
      <c r="H51" s="34">
        <v>45951</v>
      </c>
      <c r="I51" s="35">
        <f>Table94[[#This Row],[Symbol]]&amp;" "&amp;Table94[[#This Row],[Date Acquired]]</f>
        <v>NaN</v>
      </c>
      <c r="J51" s="6">
        <v>0.162</v>
      </c>
      <c r="K51" s="36">
        <v>616.358</v>
      </c>
      <c r="L51" s="37"/>
      <c r="M51" s="6"/>
      <c r="N51" s="6"/>
      <c r="O51" s="36">
        <f>IF(Table94[[#This Row],[Transaction]]="Closed",Table94[[#This Row],[Proceeds]]/Table94[[#This Row],[Shares Sold]],"")</f>
      </c>
      <c r="P51" s="36"/>
    </row>
    <row r="52" ht="14" customHeight="1" spans="2:16" x14ac:dyDescent="0.25">
      <c r="B52" s="6" t="s">
        <v>26</v>
      </c>
      <c r="C52" s="6" t="str">
        <f t="array" ref="C52">_xlfn.XLOOKUP(Table94[[#This Row],[Account]],Table25[[#All],[Account]],Table25[[#All],[Account Type2]])</f>
        <v>HSA</v>
      </c>
      <c r="D52" s="6" t="str">
        <f t="array" ref="D52">_xlfn.XLOOKUP(Table94[[#This Row],[Account]],Table25[[#All],[Account]],Table25[[#All],[Owner]])</f>
        <v>Jackson</v>
      </c>
      <c r="E52" s="6" t="s">
        <v>95</v>
      </c>
      <c r="F52" s="6" t="s">
        <v>98</v>
      </c>
      <c r="G52" s="33" t="str">
        <f t="array" ref="G52">_xlfn.XLOOKUP(Table94[[#This Row],[Symbol]],Table36[[#All],[Symbol]],Table36[[#All],[Security Description]])</f>
        <v>VANGUARD INDEX FUNDS S&amp;P 500 ETF USD</v>
      </c>
      <c r="H52" s="34">
        <v>45952</v>
      </c>
      <c r="I52" s="35">
        <f>Table94[[#This Row],[Symbol]]&amp;" "&amp;Table94[[#This Row],[Date Acquired]]</f>
        <v>NaN</v>
      </c>
      <c r="J52" s="6">
        <v>0.647</v>
      </c>
      <c r="K52" s="36">
        <v>617.326</v>
      </c>
      <c r="L52" s="37"/>
      <c r="M52" s="6"/>
      <c r="N52" s="6"/>
      <c r="O52" s="36">
        <f>IF(Table94[[#This Row],[Transaction]]="Closed",Table94[[#This Row],[Proceeds]]/Table94[[#This Row],[Shares Sold]],"")</f>
      </c>
      <c r="P52" s="36"/>
    </row>
    <row r="53" ht="14" customHeight="1" spans="2:16" x14ac:dyDescent="0.25">
      <c r="B53" s="6" t="s">
        <v>26</v>
      </c>
      <c r="C53" s="6" t="str">
        <f t="array" ref="C53">_xlfn.XLOOKUP(Table94[[#This Row],[Account]],Table25[[#All],[Account]],Table25[[#All],[Account Type2]])</f>
        <v>HSA</v>
      </c>
      <c r="D53" s="6" t="str">
        <f t="array" ref="D53">_xlfn.XLOOKUP(Table94[[#This Row],[Account]],Table25[[#All],[Account]],Table25[[#All],[Owner]])</f>
        <v>Jackson</v>
      </c>
      <c r="E53" s="6" t="s">
        <v>95</v>
      </c>
      <c r="F53" s="6" t="s">
        <v>98</v>
      </c>
      <c r="G53" s="33" t="str">
        <f t="array" ref="G53">_xlfn.XLOOKUP(Table94[[#This Row],[Symbol]],Table36[[#All],[Symbol]],Table36[[#All],[Security Description]])</f>
        <v>VANGUARD INDEX FUNDS S&amp;P 500 ETF USD</v>
      </c>
      <c r="H53" s="34">
        <v>45954</v>
      </c>
      <c r="I53" s="35">
        <f>Table94[[#This Row],[Symbol]]&amp;" "&amp;Table94[[#This Row],[Date Acquired]]</f>
        <v>NaN</v>
      </c>
      <c r="J53" s="6">
        <v>0.04</v>
      </c>
      <c r="K53" s="36">
        <v>622.23</v>
      </c>
      <c r="L53" s="37"/>
      <c r="M53" s="6"/>
      <c r="N53" s="6"/>
      <c r="O53" s="36">
        <f>IF(Table94[[#This Row],[Transaction]]="Closed",Table94[[#This Row],[Proceeds]]/Table94[[#This Row],[Shares Sold]],"")</f>
      </c>
      <c r="P53" s="36"/>
    </row>
    <row r="54" ht="14" customHeight="1" spans="2:16" x14ac:dyDescent="0.25">
      <c r="B54" s="6" t="s">
        <v>26</v>
      </c>
      <c r="C54" s="6" t="str">
        <f t="array" ref="C54">_xlfn.XLOOKUP(Table94[[#This Row],[Account]],Table25[[#All],[Account]],Table25[[#All],[Account Type2]])</f>
        <v>HSA</v>
      </c>
      <c r="D54" s="6" t="str">
        <f t="array" ref="D54">_xlfn.XLOOKUP(Table94[[#This Row],[Account]],Table25[[#All],[Account]],Table25[[#All],[Owner]])</f>
        <v>Jackson</v>
      </c>
      <c r="E54" s="6" t="s">
        <v>95</v>
      </c>
      <c r="F54" s="6" t="s">
        <v>98</v>
      </c>
      <c r="G54" s="33" t="str">
        <f t="array" ref="G54">_xlfn.XLOOKUP(Table94[[#This Row],[Symbol]],Table36[[#All],[Symbol]],Table36[[#All],[Security Description]])</f>
        <v>VANGUARD INDEX FUNDS S&amp;P 500 ETF USD</v>
      </c>
      <c r="H54" s="34">
        <v>45954</v>
      </c>
      <c r="I54" s="35">
        <f>Table94[[#This Row],[Symbol]]&amp;" "&amp;Table94[[#This Row],[Date Acquired]]</f>
        <v>NaN</v>
      </c>
      <c r="J54" s="6">
        <v>0.039</v>
      </c>
      <c r="K54" s="36">
        <v>627.88</v>
      </c>
      <c r="L54" s="37"/>
      <c r="M54" s="6"/>
      <c r="N54" s="6"/>
      <c r="O54" s="36">
        <f>IF(Table94[[#This Row],[Transaction]]="Closed",Table94[[#This Row],[Proceeds]]/Table94[[#This Row],[Shares Sold]],"")</f>
      </c>
      <c r="P54" s="36"/>
    </row>
    <row r="55" ht="14" customHeight="1" spans="2:16" x14ac:dyDescent="0.25">
      <c r="B55" s="6" t="s">
        <v>26</v>
      </c>
      <c r="C55" s="6" t="str">
        <f t="array" ref="C55">_xlfn.XLOOKUP(Table94[[#This Row],[Account]],Table25[[#All],[Account]],Table25[[#All],[Account Type2]])</f>
        <v>HSA</v>
      </c>
      <c r="D55" s="6" t="str">
        <f t="array" ref="D55">_xlfn.XLOOKUP(Table94[[#This Row],[Account]],Table25[[#All],[Account]],Table25[[#All],[Owner]])</f>
        <v>Jackson</v>
      </c>
      <c r="E55" s="6" t="s">
        <v>95</v>
      </c>
      <c r="F55" s="6" t="s">
        <v>98</v>
      </c>
      <c r="G55" s="33" t="str">
        <f t="array" ref="G55">_xlfn.XLOOKUP(Table94[[#This Row],[Symbol]],Table36[[#All],[Symbol]],Table36[[#All],[Security Description]])</f>
        <v>VANGUARD INDEX FUNDS S&amp;P 500 ETF USD</v>
      </c>
      <c r="H55" s="34">
        <v>45958</v>
      </c>
      <c r="I55" s="35">
        <f>Table94[[#This Row],[Symbol]]&amp;" "&amp;Table94[[#This Row],[Date Acquired]]</f>
        <v>NaN</v>
      </c>
      <c r="J55" s="6">
        <v>0.1582</v>
      </c>
      <c r="K55" s="36">
        <v>631.69</v>
      </c>
      <c r="L55" s="37"/>
      <c r="M55" s="6"/>
      <c r="N55" s="6"/>
      <c r="O55" s="36">
        <f>IF(Table94[[#This Row],[Transaction]]="Closed",Table94[[#This Row],[Proceeds]]/Table94[[#This Row],[Shares Sold]],"")</f>
      </c>
      <c r="P55" s="36"/>
    </row>
    <row r="56" ht="14" customHeight="1" spans="2:16" x14ac:dyDescent="0.25">
      <c r="B56" s="6" t="s">
        <v>26</v>
      </c>
      <c r="C56" s="6" t="str">
        <f t="array" ref="C56">_xlfn.XLOOKUP(Table94[[#This Row],[Account]],Table25[[#All],[Account]],Table25[[#All],[Account Type2]])</f>
        <v>HSA</v>
      </c>
      <c r="D56" s="6" t="str">
        <f t="array" ref="D56">_xlfn.XLOOKUP(Table94[[#This Row],[Account]],Table25[[#All],[Account]],Table25[[#All],[Owner]])</f>
        <v>Jackson</v>
      </c>
      <c r="E56" s="6" t="s">
        <v>95</v>
      </c>
      <c r="F56" s="6" t="s">
        <v>98</v>
      </c>
      <c r="G56" s="33" t="str">
        <f t="array" ref="G56">_xlfn.XLOOKUP(Table94[[#This Row],[Symbol]],Table36[[#All],[Symbol]],Table36[[#All],[Security Description]])</f>
        <v>VANGUARD INDEX FUNDS S&amp;P 500 ETF USD</v>
      </c>
      <c r="H56" s="34">
        <v>45959</v>
      </c>
      <c r="I56" s="35">
        <f>Table94[[#This Row],[Symbol]]&amp;" "&amp;Table94[[#This Row],[Date Acquired]]</f>
        <v>NaN</v>
      </c>
      <c r="J56" s="6">
        <v>0.631</v>
      </c>
      <c r="K56" s="36">
        <v>633.22</v>
      </c>
      <c r="L56" s="37"/>
      <c r="M56" s="6"/>
      <c r="N56" s="6"/>
      <c r="O56" s="36">
        <f>IF(Table94[[#This Row],[Transaction]]="Closed",Table94[[#This Row],[Proceeds]]/Table94[[#This Row],[Shares Sold]],"")</f>
      </c>
      <c r="P56" s="36"/>
    </row>
    <row r="57" ht="14" customHeight="1" spans="2:16" x14ac:dyDescent="0.25">
      <c r="B57" s="6" t="s">
        <v>26</v>
      </c>
      <c r="C57" s="6" t="str">
        <f t="array" ref="C57">_xlfn.XLOOKUP(Table94[[#This Row],[Account]],Table25[[#All],[Account]],Table25[[#All],[Account Type2]])</f>
        <v>HSA</v>
      </c>
      <c r="D57" s="6" t="str">
        <f t="array" ref="D57">_xlfn.XLOOKUP(Table94[[#This Row],[Account]],Table25[[#All],[Account]],Table25[[#All],[Owner]])</f>
        <v>Jackson</v>
      </c>
      <c r="E57" s="6" t="s">
        <v>95</v>
      </c>
      <c r="F57" s="6" t="s">
        <v>98</v>
      </c>
      <c r="G57" s="33" t="str">
        <f t="array" ref="G57">_xlfn.XLOOKUP(Table94[[#This Row],[Symbol]],Table36[[#All],[Symbol]],Table36[[#All],[Security Description]])</f>
        <v>VANGUARD INDEX FUNDS S&amp;P 500 ETF USD</v>
      </c>
      <c r="H57" s="34">
        <v>45961</v>
      </c>
      <c r="I57" s="35">
        <f>Table94[[#This Row],[Symbol]]&amp;" "&amp;Table94[[#This Row],[Date Acquired]]</f>
        <v>NaN</v>
      </c>
      <c r="J57" s="6">
        <v>0.039</v>
      </c>
      <c r="K57" s="36">
        <v>627.88</v>
      </c>
      <c r="L57" s="37"/>
      <c r="M57" s="6"/>
      <c r="N57" s="6"/>
      <c r="O57" s="36">
        <f>IF(Table94[[#This Row],[Transaction]]="Closed",Table94[[#This Row],[Proceeds]]/Table94[[#This Row],[Shares Sold]],"")</f>
      </c>
      <c r="P57" s="36"/>
    </row>
    <row r="58" ht="14" customHeight="1" spans="2:16" x14ac:dyDescent="0.25">
      <c r="B58" s="6" t="s">
        <v>26</v>
      </c>
      <c r="C58" s="6" t="str">
        <f t="array" ref="C58">_xlfn.XLOOKUP(Table94[[#This Row],[Account]],Table25[[#All],[Account]],Table25[[#All],[Account Type2]])</f>
        <v>HSA</v>
      </c>
      <c r="D58" s="6" t="str">
        <f t="array" ref="D58">_xlfn.XLOOKUP(Table94[[#This Row],[Account]],Table25[[#All],[Account]],Table25[[#All],[Owner]])</f>
        <v>Jackson</v>
      </c>
      <c r="E58" s="6" t="s">
        <v>95</v>
      </c>
      <c r="F58" s="6" t="s">
        <v>98</v>
      </c>
      <c r="G58" s="33" t="str">
        <f t="array" ref="G58">_xlfn.XLOOKUP(Table94[[#This Row],[Symbol]],Table36[[#All],[Symbol]],Table36[[#All],[Security Description]])</f>
        <v>VANGUARD INDEX FUNDS S&amp;P 500 ETF USD</v>
      </c>
      <c r="H58" s="34">
        <v>45965</v>
      </c>
      <c r="I58" s="35">
        <f>Table94[[#This Row],[Symbol]]&amp;" "&amp;Table94[[#This Row],[Date Acquired]]</f>
        <v>NaN</v>
      </c>
      <c r="J58" s="6">
        <v>0.16</v>
      </c>
      <c r="K58" s="36">
        <v>624.21</v>
      </c>
      <c r="L58" s="37"/>
      <c r="M58" s="6"/>
      <c r="N58" s="6"/>
      <c r="O58" s="36">
        <f>IF(Table94[[#This Row],[Transaction]]="Closed",Table94[[#This Row],[Proceeds]]/Table94[[#This Row],[Shares Sold]],"")</f>
      </c>
      <c r="P58" s="36"/>
    </row>
    <row r="59" ht="14" customHeight="1" spans="2:16" x14ac:dyDescent="0.25">
      <c r="B59" s="6" t="s">
        <v>26</v>
      </c>
      <c r="C59" s="6" t="str">
        <f t="array" ref="C59">_xlfn.XLOOKUP(Table94[[#This Row],[Account]],Table25[[#All],[Account]],Table25[[#All],[Account Type2]])</f>
        <v>HSA</v>
      </c>
      <c r="D59" s="6" t="str">
        <f t="array" ref="D59">_xlfn.XLOOKUP(Table94[[#This Row],[Account]],Table25[[#All],[Account]],Table25[[#All],[Owner]])</f>
        <v>Jackson</v>
      </c>
      <c r="E59" s="6" t="s">
        <v>95</v>
      </c>
      <c r="F59" s="6" t="s">
        <v>98</v>
      </c>
      <c r="G59" s="33" t="str">
        <f t="array" ref="G59">_xlfn.XLOOKUP(Table94[[#This Row],[Symbol]],Table36[[#All],[Symbol]],Table36[[#All],[Security Description]])</f>
        <v>VANGUARD INDEX FUNDS S&amp;P 500 ETF USD</v>
      </c>
      <c r="H59" s="34">
        <v>45968</v>
      </c>
      <c r="I59" s="35">
        <f>Table94[[#This Row],[Symbol]]&amp;" "&amp;Table94[[#This Row],[Date Acquired]]</f>
        <v>NaN</v>
      </c>
      <c r="J59" s="6">
        <v>0.04</v>
      </c>
      <c r="K59" s="36">
        <v>613.03</v>
      </c>
      <c r="L59" s="37"/>
      <c r="M59" s="6"/>
      <c r="N59" s="6"/>
      <c r="O59" s="36">
        <f>IF(Table94[[#This Row],[Transaction]]="Closed",Table94[[#This Row],[Proceeds]]/Table94[[#This Row],[Shares Sold]],"")</f>
      </c>
      <c r="P59" s="36"/>
    </row>
    <row r="60" ht="14" customHeight="1" spans="2:16" x14ac:dyDescent="0.25">
      <c r="B60" s="6" t="s">
        <v>26</v>
      </c>
      <c r="C60" s="6" t="str">
        <f t="array" ref="C60">_xlfn.XLOOKUP(Table94[[#This Row],[Account]],Table25[[#All],[Account]],Table25[[#All],[Account Type2]])</f>
        <v>HSA</v>
      </c>
      <c r="D60" s="6" t="str">
        <f t="array" ref="D60">_xlfn.XLOOKUP(Table94[[#This Row],[Account]],Table25[[#All],[Account]],Table25[[#All],[Owner]])</f>
        <v>Jackson</v>
      </c>
      <c r="E60" s="6" t="s">
        <v>95</v>
      </c>
      <c r="F60" s="6" t="s">
        <v>98</v>
      </c>
      <c r="G60" s="33" t="str">
        <f t="array" ref="G60">_xlfn.XLOOKUP(Table94[[#This Row],[Symbol]],Table36[[#All],[Symbol]],Table36[[#All],[Security Description]])</f>
        <v>VANGUARD INDEX FUNDS S&amp;P 500 ETF USD</v>
      </c>
      <c r="H60" s="34">
        <v>45972</v>
      </c>
      <c r="I60" s="35">
        <f>Table94[[#This Row],[Symbol]]&amp;" "&amp;Table94[[#This Row],[Date Acquired]]</f>
        <v>NaN</v>
      </c>
      <c r="J60" s="6">
        <v>0.159</v>
      </c>
      <c r="K60" s="36">
        <v>625.65</v>
      </c>
      <c r="L60" s="37"/>
      <c r="M60" s="6"/>
      <c r="N60" s="6"/>
      <c r="O60" s="36">
        <f>IF(Table94[[#This Row],[Transaction]]="Closed",Table94[[#This Row],[Proceeds]]/Table94[[#This Row],[Shares Sold]],"")</f>
      </c>
      <c r="P60" s="36"/>
    </row>
    <row r="61" ht="14" customHeight="1" spans="2:16" x14ac:dyDescent="0.25">
      <c r="B61" s="6" t="s">
        <v>26</v>
      </c>
      <c r="C61" s="6" t="str">
        <f t="array" ref="C61">_xlfn.XLOOKUP(Table94[[#This Row],[Account]],Table25[[#All],[Account]],Table25[[#All],[Account Type2]])</f>
        <v>HSA</v>
      </c>
      <c r="D61" s="6" t="str">
        <f t="array" ref="D61">_xlfn.XLOOKUP(Table94[[#This Row],[Account]],Table25[[#All],[Account]],Table25[[#All],[Owner]])</f>
        <v>Jackson</v>
      </c>
      <c r="E61" s="6" t="s">
        <v>95</v>
      </c>
      <c r="F61" s="6" t="s">
        <v>98</v>
      </c>
      <c r="G61" s="33" t="str">
        <f t="array" ref="G61">_xlfn.XLOOKUP(Table94[[#This Row],[Symbol]],Table36[[#All],[Symbol]],Table36[[#All],[Security Description]])</f>
        <v>VANGUARD INDEX FUNDS S&amp;P 500 ETF USD</v>
      </c>
      <c r="H61" s="34">
        <v>45975</v>
      </c>
      <c r="I61" s="35">
        <f>Table94[[#This Row],[Symbol]]&amp;" "&amp;Table94[[#This Row],[Date Acquired]]</f>
        <v>NaN</v>
      </c>
      <c r="J61" s="6">
        <v>0.04</v>
      </c>
      <c r="K61" s="36">
        <v>614.1</v>
      </c>
      <c r="L61" s="37"/>
      <c r="M61" s="6"/>
      <c r="N61" s="6"/>
      <c r="O61" s="36">
        <f>IF(Table94[[#This Row],[Transaction]]="Closed",Table94[[#This Row],[Proceeds]]/Table94[[#This Row],[Shares Sold]],"")</f>
      </c>
      <c r="P61" s="36"/>
    </row>
    <row r="62" ht="14" customHeight="1" spans="2:16" x14ac:dyDescent="0.25">
      <c r="B62" s="6" t="s">
        <v>26</v>
      </c>
      <c r="C62" s="6" t="str">
        <f t="array" ref="C62">_xlfn.XLOOKUP(Table94[[#This Row],[Account]],Table25[[#All],[Account]],Table25[[#All],[Account Type2]])</f>
        <v>HSA</v>
      </c>
      <c r="D62" s="6" t="str">
        <f t="array" ref="D62">_xlfn.XLOOKUP(Table94[[#This Row],[Account]],Table25[[#All],[Account]],Table25[[#All],[Owner]])</f>
        <v>Jackson</v>
      </c>
      <c r="E62" s="6" t="s">
        <v>95</v>
      </c>
      <c r="F62" s="6" t="s">
        <v>98</v>
      </c>
      <c r="G62" s="33" t="str">
        <f t="array" ref="G62">_xlfn.XLOOKUP(Table94[[#This Row],[Symbol]],Table36[[#All],[Symbol]],Table36[[#All],[Security Description]])</f>
        <v>VANGUARD INDEX FUNDS S&amp;P 500 ETF USD</v>
      </c>
      <c r="H62" s="34">
        <v>45979</v>
      </c>
      <c r="I62" s="35">
        <f>Table94[[#This Row],[Symbol]]&amp;" "&amp;Table94[[#This Row],[Date Acquired]]</f>
        <v>NaN</v>
      </c>
      <c r="J62" s="6">
        <f>0.054+0.111</f>
        <v>0.165</v>
      </c>
      <c r="K62" s="36">
        <v>604.59</v>
      </c>
      <c r="L62" s="37"/>
      <c r="M62" s="6"/>
      <c r="N62" s="6"/>
      <c r="O62" s="36">
        <f>IF(Table94[[#This Row],[Transaction]]="Closed",Table94[[#This Row],[Proceeds]]/Table94[[#This Row],[Shares Sold]],"")</f>
      </c>
      <c r="P62" s="36"/>
    </row>
    <row r="63" ht="14" customHeight="1" spans="2:16" x14ac:dyDescent="0.25">
      <c r="B63" s="6" t="s">
        <v>26</v>
      </c>
      <c r="C63" s="6" t="str">
        <f t="array" ref="C63">_xlfn.XLOOKUP(Table94[[#This Row],[Account]],Table25[[#All],[Account]],Table25[[#All],[Account Type2]])</f>
        <v>HSA</v>
      </c>
      <c r="D63" s="6" t="str">
        <f t="array" ref="D63">_xlfn.XLOOKUP(Table94[[#This Row],[Account]],Table25[[#All],[Account]],Table25[[#All],[Owner]])</f>
        <v>Jackson</v>
      </c>
      <c r="E63" s="6" t="s">
        <v>95</v>
      </c>
      <c r="F63" s="6" t="s">
        <v>98</v>
      </c>
      <c r="G63" s="33" t="str">
        <f t="array" ref="G63">_xlfn.XLOOKUP(Table94[[#This Row],[Symbol]],Table36[[#All],[Symbol]],Table36[[#All],[Security Description]])</f>
        <v>VANGUARD INDEX FUNDS S&amp;P 500 ETF USD</v>
      </c>
      <c r="H63" s="34">
        <v>45982</v>
      </c>
      <c r="I63" s="35">
        <f>Table94[[#This Row],[Symbol]]&amp;" "&amp;Table94[[#This Row],[Date Acquired]]</f>
        <v>NaN</v>
      </c>
      <c r="J63" s="6">
        <v>0.041</v>
      </c>
      <c r="K63" s="36">
        <v>602.53</v>
      </c>
      <c r="L63" s="37"/>
      <c r="M63" s="6"/>
      <c r="N63" s="6"/>
      <c r="O63" s="36">
        <f>IF(Table94[[#This Row],[Transaction]]="Closed",Table94[[#This Row],[Proceeds]]/Table94[[#This Row],[Shares Sold]],"")</f>
      </c>
      <c r="P63" s="36"/>
    </row>
    <row r="64" ht="14" customHeight="1" spans="2:16" x14ac:dyDescent="0.25">
      <c r="B64" s="6" t="s">
        <v>26</v>
      </c>
      <c r="C64" s="6" t="str">
        <f t="array" ref="C64">_xlfn.XLOOKUP(Table94[[#This Row],[Account]],Table25[[#All],[Account]],Table25[[#All],[Account Type2]])</f>
        <v>HSA</v>
      </c>
      <c r="D64" s="6" t="str">
        <f t="array" ref="D64">_xlfn.XLOOKUP(Table94[[#This Row],[Account]],Table25[[#All],[Account]],Table25[[#All],[Owner]])</f>
        <v>Jackson</v>
      </c>
      <c r="E64" s="6" t="s">
        <v>95</v>
      </c>
      <c r="F64" s="6" t="s">
        <v>98</v>
      </c>
      <c r="G64" s="33" t="str">
        <f t="array" ref="G64">_xlfn.XLOOKUP(Table94[[#This Row],[Symbol]],Table36[[#All],[Symbol]],Table36[[#All],[Security Description]])</f>
        <v>VANGUARD INDEX FUNDS S&amp;P 500 ETF USD</v>
      </c>
      <c r="H64" s="34">
        <v>45986</v>
      </c>
      <c r="I64" s="35">
        <f>Table94[[#This Row],[Symbol]]&amp;" "&amp;Table94[[#This Row],[Date Acquired]]</f>
        <v>NaN</v>
      </c>
      <c r="J64" s="6">
        <f>0.14+0.023</f>
        <v>0.163</v>
      </c>
      <c r="K64" s="36">
        <v>612.65</v>
      </c>
      <c r="L64" s="37"/>
      <c r="M64" s="6"/>
      <c r="N64" s="6"/>
      <c r="O64" s="36">
        <f>IF(Table94[[#This Row],[Transaction]]="Closed",Table94[[#This Row],[Proceeds]]/Table94[[#This Row],[Shares Sold]],"")</f>
      </c>
      <c r="P64" s="36"/>
    </row>
    <row r="65" ht="14" customHeight="1" spans="2:16" x14ac:dyDescent="0.25">
      <c r="B65" s="6" t="s">
        <v>26</v>
      </c>
      <c r="C65" s="6" t="str">
        <f t="array" ref="C65">_xlfn.XLOOKUP(Table94[[#This Row],[Account]],Table25[[#All],[Account]],Table25[[#All],[Account Type2]])</f>
        <v>HSA</v>
      </c>
      <c r="D65" s="6" t="str">
        <f t="array" ref="D65">_xlfn.XLOOKUP(Table94[[#This Row],[Account]],Table25[[#All],[Account]],Table25[[#All],[Owner]])</f>
        <v>Jackson</v>
      </c>
      <c r="E65" s="6" t="s">
        <v>95</v>
      </c>
      <c r="F65" s="6" t="s">
        <v>98</v>
      </c>
      <c r="G65" s="33" t="str">
        <f t="array" ref="G65">_xlfn.XLOOKUP(Table94[[#This Row],[Symbol]],Table36[[#All],[Symbol]],Table36[[#All],[Security Description]])</f>
        <v>VANGUARD INDEX FUNDS S&amp;P 500 ETF USD</v>
      </c>
      <c r="H65" s="34">
        <v>45989</v>
      </c>
      <c r="I65" s="35">
        <f>Table94[[#This Row],[Symbol]]&amp;" "&amp;Table94[[#This Row],[Date Acquired]]</f>
        <v>NaN</v>
      </c>
      <c r="J65" s="6">
        <v>0.039</v>
      </c>
      <c r="K65" s="36">
        <v>626.94</v>
      </c>
      <c r="L65" s="37"/>
      <c r="M65" s="6"/>
      <c r="N65" s="6"/>
      <c r="O65" s="36">
        <f>IF(Table94[[#This Row],[Transaction]]="Closed",Table94[[#This Row],[Proceeds]]/Table94[[#This Row],[Shares Sold]],"")</f>
      </c>
      <c r="P65" s="36"/>
    </row>
    <row r="66" ht="14" customHeight="1" spans="2:16" x14ac:dyDescent="0.25">
      <c r="B66" s="6" t="s">
        <v>26</v>
      </c>
      <c r="C66" s="6" t="str">
        <f t="array" ref="C66">_xlfn.XLOOKUP(Table94[[#This Row],[Account]],Table25[[#All],[Account]],Table25[[#All],[Account Type2]])</f>
        <v>HSA</v>
      </c>
      <c r="D66" s="6" t="str">
        <f t="array" ref="D66">_xlfn.XLOOKUP(Table94[[#This Row],[Account]],Table25[[#All],[Account]],Table25[[#All],[Owner]])</f>
        <v>Jackson</v>
      </c>
      <c r="E66" s="6" t="s">
        <v>95</v>
      </c>
      <c r="F66" s="6" t="s">
        <v>98</v>
      </c>
      <c r="G66" s="33" t="str">
        <f t="array" ref="G66">_xlfn.XLOOKUP(Table94[[#This Row],[Symbol]],Table36[[#All],[Symbol]],Table36[[#All],[Security Description]])</f>
        <v>VANGUARD INDEX FUNDS S&amp;P 500 ETF USD</v>
      </c>
      <c r="H66" s="34">
        <v>45993</v>
      </c>
      <c r="I66" s="35">
        <f>Table94[[#This Row],[Symbol]]&amp;" "&amp;Table94[[#This Row],[Date Acquired]]</f>
        <v>NaN</v>
      </c>
      <c r="J66" s="6">
        <v>0.158</v>
      </c>
      <c r="K66" s="36">
        <v>628.7</v>
      </c>
      <c r="L66" s="37"/>
      <c r="M66" s="6"/>
      <c r="N66" s="6"/>
      <c r="O66" s="36">
        <f>IF(Table94[[#This Row],[Transaction]]="Closed",Table94[[#This Row],[Proceeds]]/Table94[[#This Row],[Shares Sold]],"")</f>
      </c>
      <c r="P66" s="36"/>
    </row>
    <row r="67" ht="14" customHeight="1" spans="2:16" x14ac:dyDescent="0.25">
      <c r="B67" s="6" t="s">
        <v>26</v>
      </c>
      <c r="C67" s="6" t="str">
        <f t="array" ref="C67">_xlfn.XLOOKUP(Table94[[#This Row],[Account]],Table25[[#All],[Account]],Table25[[#All],[Account Type2]])</f>
        <v>HSA</v>
      </c>
      <c r="D67" s="6" t="str">
        <f t="array" ref="D67">_xlfn.XLOOKUP(Table94[[#This Row],[Account]],Table25[[#All],[Account]],Table25[[#All],[Owner]])</f>
        <v>Jackson</v>
      </c>
      <c r="E67" s="6" t="s">
        <v>95</v>
      </c>
      <c r="F67" s="6" t="s">
        <v>98</v>
      </c>
      <c r="G67" s="33" t="str">
        <f t="array" ref="G67">_xlfn.XLOOKUP(Table94[[#This Row],[Symbol]],Table36[[#All],[Symbol]],Table36[[#All],[Security Description]])</f>
        <v>VANGUARD INDEX FUNDS S&amp;P 500 ETF USD</v>
      </c>
      <c r="H67" s="34">
        <v>45996</v>
      </c>
      <c r="I67" s="35">
        <f>Table94[[#This Row],[Symbol]]&amp;" "&amp;Table94[[#This Row],[Date Acquired]]</f>
        <v>NaN</v>
      </c>
      <c r="J67" s="6">
        <v>0.039</v>
      </c>
      <c r="K67" s="36">
        <v>632.56</v>
      </c>
      <c r="L67" s="37"/>
      <c r="M67" s="6"/>
      <c r="N67" s="6"/>
      <c r="O67" s="36">
        <f>IF(Table94[[#This Row],[Transaction]]="Closed",Table94[[#This Row],[Proceeds]]/Table94[[#This Row],[Shares Sold]],"")</f>
      </c>
      <c r="P67" s="36"/>
    </row>
    <row r="68" ht="14" customHeight="1" spans="2:16" x14ac:dyDescent="0.25">
      <c r="B68" s="6" t="s">
        <v>26</v>
      </c>
      <c r="C68" s="6" t="str">
        <f t="array" ref="C68">_xlfn.XLOOKUP(Table94[[#This Row],[Account]],Table25[[#All],[Account]],Table25[[#All],[Account Type2]])</f>
        <v>HSA</v>
      </c>
      <c r="D68" s="6" t="str">
        <f t="array" ref="D68">_xlfn.XLOOKUP(Table94[[#This Row],[Account]],Table25[[#All],[Account]],Table25[[#All],[Owner]])</f>
        <v>Jackson</v>
      </c>
      <c r="E68" s="6" t="s">
        <v>95</v>
      </c>
      <c r="F68" s="6" t="s">
        <v>98</v>
      </c>
      <c r="G68" s="33" t="str">
        <f t="array" ref="G68">_xlfn.XLOOKUP(Table94[[#This Row],[Symbol]],Table36[[#All],[Symbol]],Table36[[#All],[Security Description]])</f>
        <v>VANGUARD INDEX FUNDS S&amp;P 500 ETF USD</v>
      </c>
      <c r="H68" s="34">
        <v>46000</v>
      </c>
      <c r="I68" s="35">
        <f>Table94[[#This Row],[Symbol]]&amp;" "&amp;Table94[[#This Row],[Date Acquired]]</f>
        <v>NaN</v>
      </c>
      <c r="J68" s="6">
        <v>0.158</v>
      </c>
      <c r="K68" s="36">
        <v>629.67</v>
      </c>
      <c r="L68" s="37"/>
      <c r="M68" s="6"/>
      <c r="N68" s="6"/>
      <c r="O68" s="36">
        <f>IF(Table94[[#This Row],[Transaction]]="Closed",Table94[[#This Row],[Proceeds]]/Table94[[#This Row],[Shares Sold]],"")</f>
      </c>
      <c r="P68" s="36"/>
    </row>
    <row r="69" ht="14" customHeight="1" spans="2:16" x14ac:dyDescent="0.25">
      <c r="B69" s="6" t="s">
        <v>26</v>
      </c>
      <c r="C69" s="6" t="str">
        <f t="array" ref="C69">_xlfn.XLOOKUP(Table94[[#This Row],[Account]],Table25[[#All],[Account]],Table25[[#All],[Account Type2]])</f>
        <v>HSA</v>
      </c>
      <c r="D69" s="6" t="str">
        <f t="array" ref="D69">_xlfn.XLOOKUP(Table94[[#This Row],[Account]],Table25[[#All],[Account]],Table25[[#All],[Owner]])</f>
        <v>Jackson</v>
      </c>
      <c r="E69" s="6" t="s">
        <v>95</v>
      </c>
      <c r="F69" s="6" t="s">
        <v>98</v>
      </c>
      <c r="G69" s="33" t="str">
        <f t="array" ref="G69">_xlfn.XLOOKUP(Table94[[#This Row],[Symbol]],Table36[[#All],[Symbol]],Table36[[#All],[Security Description]])</f>
        <v>VANGUARD INDEX FUNDS S&amp;P 500 ETF USD</v>
      </c>
      <c r="H69" s="34">
        <v>46003</v>
      </c>
      <c r="I69" s="35">
        <f>Table94[[#This Row],[Symbol]]&amp;" "&amp;Table94[[#This Row],[Date Acquired]]</f>
        <v>NaN</v>
      </c>
      <c r="J69" s="6">
        <v>0.039</v>
      </c>
      <c r="K69" s="36">
        <v>631.34</v>
      </c>
      <c r="L69" s="37"/>
      <c r="M69" s="6"/>
      <c r="N69" s="6"/>
      <c r="O69" s="36">
        <f>IF(Table94[[#This Row],[Transaction]]="Closed",Table94[[#This Row],[Proceeds]]/Table94[[#This Row],[Shares Sold]],"")</f>
      </c>
      <c r="P69" s="36"/>
    </row>
    <row r="70" ht="14" customHeight="1" spans="2:16" x14ac:dyDescent="0.25">
      <c r="B70" s="6" t="s">
        <v>26</v>
      </c>
      <c r="C70" s="6" t="str">
        <f t="array" ref="C70">_xlfn.XLOOKUP(Table94[[#This Row],[Account]],Table25[[#All],[Account]],Table25[[#All],[Account Type2]])</f>
        <v>HSA</v>
      </c>
      <c r="D70" s="6" t="str">
        <f t="array" ref="D70">_xlfn.XLOOKUP(Table94[[#This Row],[Account]],Table25[[#All],[Account]],Table25[[#All],[Owner]])</f>
        <v>Jackson</v>
      </c>
      <c r="E70" s="6" t="s">
        <v>95</v>
      </c>
      <c r="F70" s="6" t="s">
        <v>98</v>
      </c>
      <c r="G70" s="33" t="str">
        <f t="array" ref="G70">_xlfn.XLOOKUP(Table94[[#This Row],[Symbol]],Table36[[#All],[Symbol]],Table36[[#All],[Security Description]])</f>
        <v>VANGUARD INDEX FUNDS S&amp;P 500 ETF USD</v>
      </c>
      <c r="H70" s="34">
        <v>46007</v>
      </c>
      <c r="I70" s="35">
        <f>Table94[[#This Row],[Symbol]]&amp;" "&amp;Table94[[#This Row],[Date Acquired]]</f>
        <v>NaN</v>
      </c>
      <c r="J70" s="6">
        <v>0.159</v>
      </c>
      <c r="K70" s="36">
        <v>625.91</v>
      </c>
      <c r="L70" s="37"/>
      <c r="M70" s="6"/>
      <c r="N70" s="6"/>
      <c r="O70" s="36">
        <f>IF(Table94[[#This Row],[Transaction]]="Closed",Table94[[#This Row],[Proceeds]]/Table94[[#This Row],[Shares Sold]],"")</f>
      </c>
      <c r="P70" s="36"/>
    </row>
    <row r="71" ht="14" customHeight="1" spans="2:16" x14ac:dyDescent="0.25">
      <c r="B71" s="6" t="s">
        <v>26</v>
      </c>
      <c r="C71" s="6" t="str">
        <f t="array" ref="C71">_xlfn.XLOOKUP(Table94[[#This Row],[Account]],Table25[[#All],[Account]],Table25[[#All],[Account Type2]])</f>
        <v>HSA</v>
      </c>
      <c r="D71" s="6" t="str">
        <f t="array" ref="D71">_xlfn.XLOOKUP(Table94[[#This Row],[Account]],Table25[[#All],[Account]],Table25[[#All],[Owner]])</f>
        <v>Jackson</v>
      </c>
      <c r="E71" s="6" t="s">
        <v>95</v>
      </c>
      <c r="F71" s="6" t="s">
        <v>98</v>
      </c>
      <c r="G71" s="33" t="str">
        <f t="array" ref="G71">_xlfn.XLOOKUP(Table94[[#This Row],[Symbol]],Table36[[#All],[Symbol]],Table36[[#All],[Security Description]])</f>
        <v>VANGUARD INDEX FUNDS S&amp;P 500 ETF USD</v>
      </c>
      <c r="H71" s="34">
        <v>46010</v>
      </c>
      <c r="I71" s="35">
        <f>Table94[[#This Row],[Symbol]]&amp;" "&amp;Table94[[#This Row],[Date Acquired]]</f>
        <v>NaN</v>
      </c>
      <c r="J71" s="6">
        <v>0.039</v>
      </c>
      <c r="K71" s="36">
        <v>626.92</v>
      </c>
      <c r="L71" s="37"/>
      <c r="M71" s="6"/>
      <c r="N71" s="6"/>
      <c r="O71" s="36">
        <f>IF(Table94[[#This Row],[Transaction]]="Closed",Table94[[#This Row],[Proceeds]]/Table94[[#This Row],[Shares Sold]],"")</f>
      </c>
      <c r="P71" s="36"/>
    </row>
    <row r="72" ht="14" customHeight="1" spans="2:16" x14ac:dyDescent="0.25">
      <c r="B72" s="6" t="s">
        <v>26</v>
      </c>
      <c r="C72" s="6" t="str">
        <f t="array" ref="C72">_xlfn.XLOOKUP(Table94[[#This Row],[Account]],Table25[[#All],[Account]],Table25[[#All],[Account Type2]])</f>
        <v>HSA</v>
      </c>
      <c r="D72" s="6" t="str">
        <f t="array" ref="D72">_xlfn.XLOOKUP(Table94[[#This Row],[Account]],Table25[[#All],[Account]],Table25[[#All],[Owner]])</f>
        <v>Jackson</v>
      </c>
      <c r="E72" s="6" t="s">
        <v>95</v>
      </c>
      <c r="F72" s="6" t="s">
        <v>98</v>
      </c>
      <c r="G72" s="33" t="str">
        <f t="array" ref="G72">_xlfn.XLOOKUP(Table94[[#This Row],[Symbol]],Table36[[#All],[Symbol]],Table36[[#All],[Security Description]])</f>
        <v>VANGUARD INDEX FUNDS S&amp;P 500 ETF USD</v>
      </c>
      <c r="H72" s="34">
        <v>46017</v>
      </c>
      <c r="I72" s="35">
        <f>Table94[[#This Row],[Symbol]]&amp;" "&amp;Table94[[#This Row],[Date Acquired]]</f>
        <v>NaN</v>
      </c>
      <c r="J72" s="6">
        <v>0.039</v>
      </c>
      <c r="K72" s="36">
        <v>634.36</v>
      </c>
      <c r="L72" s="37"/>
      <c r="M72" s="6"/>
      <c r="N72" s="6"/>
      <c r="O72" s="36">
        <f>IF(Table94[[#This Row],[Transaction]]="Closed",Table94[[#This Row],[Proceeds]]/Table94[[#This Row],[Shares Sold]],"")</f>
      </c>
      <c r="P72" s="36"/>
    </row>
    <row r="73" ht="14" customHeight="1" spans="2:16" x14ac:dyDescent="0.25">
      <c r="B73" s="6" t="s">
        <v>26</v>
      </c>
      <c r="C73" s="6" t="str">
        <f t="array" ref="C73">_xlfn.XLOOKUP(Table94[[#This Row],[Account]],Table25[[#All],[Account]],Table25[[#All],[Account Type2]])</f>
        <v>HSA</v>
      </c>
      <c r="D73" s="6" t="str">
        <f t="array" ref="D73">_xlfn.XLOOKUP(Table94[[#This Row],[Account]],Table25[[#All],[Account]],Table25[[#All],[Owner]])</f>
        <v>Jackson</v>
      </c>
      <c r="E73" s="6" t="s">
        <v>95</v>
      </c>
      <c r="F73" s="6" t="s">
        <v>98</v>
      </c>
      <c r="G73" s="33" t="str">
        <f t="array" ref="G73">_xlfn.XLOOKUP(Table94[[#This Row],[Symbol]],Table36[[#All],[Symbol]],Table36[[#All],[Security Description]])</f>
        <v>VANGUARD INDEX FUNDS S&amp;P 500 ETF USD</v>
      </c>
      <c r="H73" s="34">
        <v>46121</v>
      </c>
      <c r="I73" s="35">
        <f>Table94[[#This Row],[Symbol]]&amp;" "&amp;Table94[[#This Row],[Date Acquired]]</f>
        <v>NaN</v>
      </c>
      <c r="J73" s="6">
        <v>0.039</v>
      </c>
      <c r="K73" s="36">
        <v>643.33</v>
      </c>
      <c r="L73" s="37"/>
      <c r="M73" s="6"/>
      <c r="N73" s="6"/>
      <c r="O73" s="36">
        <f>IF(Table94[[#This Row],[Transaction]]="Closed",Table94[[#This Row],[Proceeds]]/Table94[[#This Row],[Shares Sold]],"")</f>
      </c>
      <c r="P73" s="36"/>
    </row>
    <row r="74" ht="14" customHeight="1" spans="2:16" x14ac:dyDescent="0.25">
      <c r="B74" s="6" t="s">
        <v>26</v>
      </c>
      <c r="C74" s="6" t="str">
        <f t="array" ref="C74">_xlfn.XLOOKUP(Table94[[#This Row],[Account]],Table25[[#All],[Account]],Table25[[#All],[Account Type2]])</f>
        <v>HSA</v>
      </c>
      <c r="D74" s="6" t="str">
        <f t="array" ref="D74">_xlfn.XLOOKUP(Table94[[#This Row],[Account]],Table25[[#All],[Account]],Table25[[#All],[Owner]])</f>
        <v>Jackson</v>
      </c>
      <c r="E74" s="6" t="s">
        <v>95</v>
      </c>
      <c r="F74" s="6" t="s">
        <v>98</v>
      </c>
      <c r="G74" s="33" t="str">
        <f t="array" ref="G74">_xlfn.XLOOKUP(Table94[[#This Row],[Symbol]],Table36[[#All],[Symbol]],Table36[[#All],[Security Description]])</f>
        <v>VANGUARD INDEX FUNDS S&amp;P 500 ETF USD</v>
      </c>
      <c r="H74" s="34">
        <v>46128</v>
      </c>
      <c r="I74" s="35">
        <f>Table94[[#This Row],[Symbol]]&amp;" "&amp;Table94[[#This Row],[Date Acquired]]</f>
        <v>NaN</v>
      </c>
      <c r="J74" s="6">
        <v>0.038</v>
      </c>
      <c r="K74" s="36">
        <v>644.73684211</v>
      </c>
      <c r="L74" s="35"/>
      <c r="M74" s="38"/>
      <c r="N74" s="6"/>
      <c r="O74" s="36">
        <f>IF(Table94[[#This Row],[Transaction]]="Closed",Table94[[#This Row],[Proceeds]]/Table94[[#This Row],[Shares Sold]],"")</f>
      </c>
      <c r="P74" s="39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B2:G18"/>
  <sheetViews>
    <sheetView workbookViewId="0" zoomScale="100" zoomScaleNormal="100">
      <selection activeCell="H16" sqref="H16"/>
    </sheetView>
  </sheetViews>
  <sheetFormatPr defaultRowHeight="16" outlineLevelRow="0" outlineLevelCol="0" x14ac:dyDescent="0.2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4" x14ac:dyDescent="0.25">
      <c r="B6" s="2" t="s">
        <v>48</v>
      </c>
      <c r="C6" s="2" t="s">
        <v>50</v>
      </c>
      <c r="D6" s="19">
        <v>5000</v>
      </c>
    </row>
    <row r="7" spans="2:4" x14ac:dyDescent="0.25">
      <c r="B7" s="2" t="s">
        <v>48</v>
      </c>
      <c r="C7" s="2" t="s">
        <v>56</v>
      </c>
      <c r="D7" s="19">
        <f>G2-SUM(D5:D6)</f>
        <v>141000</v>
      </c>
    </row>
    <row r="8" spans="2:4" x14ac:dyDescent="0.25">
      <c r="B8" s="2" t="s">
        <v>56</v>
      </c>
      <c r="C8" s="2" t="s">
        <v>57</v>
      </c>
      <c r="D8" s="19">
        <f>(250*G5)*12</f>
        <v>6000</v>
      </c>
    </row>
    <row r="9" spans="2:4" x14ac:dyDescent="0.25">
      <c r="B9" s="2" t="s">
        <v>56</v>
      </c>
      <c r="C9" s="2" t="s">
        <v>58</v>
      </c>
      <c r="D9" s="19">
        <v>10000</v>
      </c>
    </row>
    <row r="10" spans="2:4" x14ac:dyDescent="0.25">
      <c r="B10" s="2" t="s">
        <v>56</v>
      </c>
      <c r="C10" s="2" t="s">
        <v>59</v>
      </c>
      <c r="D10" s="19">
        <v>12000</v>
      </c>
    </row>
    <row r="11" spans="2:4" x14ac:dyDescent="0.25">
      <c r="B11" s="2" t="s">
        <v>56</v>
      </c>
      <c r="C11" s="2" t="s">
        <v>53</v>
      </c>
      <c r="D11" s="19">
        <f>D7-SUM(D8:D10,D12)</f>
        <v>108000</v>
      </c>
    </row>
    <row r="12" spans="2:4" x14ac:dyDescent="0.25">
      <c r="B12" s="2" t="s">
        <v>56</v>
      </c>
      <c r="C12" s="2" t="s">
        <v>60</v>
      </c>
      <c r="D12" s="2">
        <v>5000</v>
      </c>
    </row>
    <row r="15" spans="4:4" x14ac:dyDescent="0.25">
      <c r="D15" s="19"/>
    </row>
    <row r="16" spans="4:4" x14ac:dyDescent="0.25">
      <c r="D16" s="19"/>
    </row>
    <row r="17" spans="4:4" x14ac:dyDescent="0.25">
      <c r="D17" s="19"/>
    </row>
    <row r="18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2026-03-31T03:04:34Z</dcterms:created>
  <dcterms:modified xsi:type="dcterms:W3CDTF">2026-04-30T16:52:59Z</dcterms:modified>
</cp:coreProperties>
</file>