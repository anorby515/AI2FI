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filterPrivacy="1"/>
  <xr:revisionPtr revIDLastSave="0" documentId="13_ncr:1_{59B9B34E-BFBD-CC4F-BB0A-F94BF55BE4EA}" xr6:coauthVersionLast="47" xr6:coauthVersionMax="47" xr10:uidLastSave="{00000000-0000-0000-0000-000000000000}"/>
  <bookViews>
    <workbookView xWindow="1320" yWindow="880" windowWidth="26300" windowHeight="24500" xr2:uid="{00000000-000D-0000-FFFF-FFFF00000000}"/>
  </bookViews>
  <sheets>
    <sheet name="Lookup Tables" sheetId="8" r:id="rId1"/>
    <sheet name="Accounts" sheetId="4" r:id="rId2"/>
    <sheet name="Net Worth MoM" sheetId="2" r:id="rId3"/>
    <sheet name="Budget" sheetId="9" r:id="rId4"/>
    <sheet name="Sankey" sheetId="11" r:id="rId5"/>
    <sheet name="Mortgage" sheetId="1" r:id="rId6"/>
    <sheet name="Education Savings" sheetId="7" r:id="rId7"/>
    <sheet name="Brokerage Ledger" sheetId="10" r:id="rId8"/>
    <sheet name="401k Ledger" sheetId="13" r:id="rId9"/>
    <sheet name="BrokerageLink" sheetId="15" r:id="rId10"/>
    <sheet name="Pension" sheetId="12" r:id="rId11"/>
    <sheet name="TICKERS" sheetId="5" r:id="rId12"/>
    <sheet name="401k Ticker Map" sheetId="14" r:id="rId13"/>
    <sheet name="Charitable Trust" sheetId="3" r:id="rId14"/>
  </sheets>
  <definedNames>
    <definedName name="APR">#REF!</definedName>
    <definedName name="Current_Debt_Total">#REF!</definedName>
    <definedName name="Current_Jeep">#REF!</definedName>
    <definedName name="Current_Mortgage">#REF!</definedName>
    <definedName name="EXTRA_MNTHLY">#REF!</definedName>
    <definedName name="EXTRA_PMT">#REF!</definedName>
    <definedName name="Gross_Salary">#REF!</definedName>
    <definedName name="Lake_apr">#REF!</definedName>
    <definedName name="Lake_nper">#REF!</definedName>
    <definedName name="LoanPurpose">#REF!</definedName>
    <definedName name="MoRT_PMT">#REF!</definedName>
    <definedName name="NPER">#REF!</definedName>
    <definedName name="Payment">#REF!</definedName>
    <definedName name="Pen_After_Death">#REF!</definedName>
    <definedName name="Pen_B4_Death">#REF!</definedName>
    <definedName name="Pen_B4_SS">#REF!</definedName>
    <definedName name="Pension">#REF!</definedName>
    <definedName name="Principal">#REF!</definedName>
    <definedName name="rate">#REF!</definedName>
    <definedName name="Refi_Mortgage">#REF!</definedName>
    <definedName name="retire_Apr">#REF!</definedName>
    <definedName name="SS">#REF!</definedName>
    <definedName name="TodaySnP">#REF!</definedName>
    <definedName name="TotalMonthlyExpenses">#REF!</definedName>
    <definedName name="TotalMonthlyIncome">#REF!</definedName>
    <definedName name="TotalMonthlySavings">#REF!</definedName>
    <definedName name="TotalSavings">#REF!</definedName>
    <definedName name="TotalSpe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0" l="1" a="1"/>
  <c r="G3" i="10" s="1"/>
  <c r="G4" i="10" a="1"/>
  <c r="G4" i="10"/>
  <c r="G5" i="10" a="1"/>
  <c r="G5" i="10" s="1"/>
  <c r="G6" i="10" a="1"/>
  <c r="G6" i="10"/>
  <c r="G7" i="10" a="1"/>
  <c r="G7" i="10" s="1"/>
  <c r="G8" i="10" a="1"/>
  <c r="G8" i="10"/>
  <c r="G9" i="10" a="1"/>
  <c r="G9" i="10" s="1"/>
  <c r="G10" i="10" a="1"/>
  <c r="G10" i="10"/>
  <c r="G11" i="10" a="1"/>
  <c r="G11" i="10" s="1"/>
  <c r="G12" i="10" a="1"/>
  <c r="G12" i="10"/>
  <c r="G13" i="10" a="1"/>
  <c r="G13" i="10" s="1"/>
  <c r="G14" i="10" a="1"/>
  <c r="G14" i="10"/>
  <c r="G15" i="10" a="1"/>
  <c r="G15" i="10" s="1"/>
  <c r="G16" i="10" a="1"/>
  <c r="G16" i="10" s="1"/>
  <c r="G17" i="10" a="1"/>
  <c r="G17" i="10" s="1"/>
  <c r="G18" i="10" a="1"/>
  <c r="G18" i="10"/>
  <c r="G19" i="10" a="1"/>
  <c r="G19" i="10" s="1"/>
  <c r="G20" i="10" a="1"/>
  <c r="G20" i="10"/>
  <c r="G21" i="10" a="1"/>
  <c r="G21" i="10" s="1"/>
  <c r="G22" i="10" a="1"/>
  <c r="G22" i="10"/>
  <c r="G23" i="10" a="1"/>
  <c r="G23" i="10" s="1"/>
  <c r="G24" i="10" a="1"/>
  <c r="G24" i="10"/>
  <c r="G25" i="10" a="1"/>
  <c r="G25" i="10" s="1"/>
  <c r="G26" i="10" a="1"/>
  <c r="G26" i="10"/>
  <c r="G27" i="10" a="1"/>
  <c r="G27" i="10" s="1"/>
  <c r="G28" i="10" a="1"/>
  <c r="G28" i="10"/>
  <c r="G29" i="10" a="1"/>
  <c r="G29" i="10" s="1"/>
  <c r="G30" i="10" a="1"/>
  <c r="G30" i="10"/>
  <c r="G31" i="10" a="1"/>
  <c r="G31" i="10" s="1"/>
  <c r="G32" i="10" a="1"/>
  <c r="G32" i="10"/>
  <c r="G33" i="10" a="1"/>
  <c r="G33" i="10" s="1"/>
  <c r="G34" i="10" a="1"/>
  <c r="G34" i="10"/>
  <c r="G35" i="10" a="1"/>
  <c r="G35" i="10" s="1"/>
  <c r="G36" i="10" a="1"/>
  <c r="G36" i="10"/>
  <c r="G37" i="10" a="1"/>
  <c r="G37" i="10" s="1"/>
  <c r="G38" i="10" a="1"/>
  <c r="G38" i="10"/>
  <c r="G39" i="10" a="1"/>
  <c r="G39" i="10" s="1"/>
  <c r="G40" i="10" a="1"/>
  <c r="G40" i="10"/>
  <c r="G41" i="10" a="1"/>
  <c r="G41" i="10" s="1"/>
  <c r="G42" i="10" a="1"/>
  <c r="G42" i="10"/>
  <c r="G43" i="10" a="1"/>
  <c r="G43" i="10" s="1"/>
  <c r="G44" i="10" a="1"/>
  <c r="G44" i="10" s="1"/>
  <c r="G45" i="10" a="1"/>
  <c r="G45" i="10" s="1"/>
  <c r="G46" i="10" a="1"/>
  <c r="G46" i="10" s="1"/>
  <c r="G47" i="10" a="1"/>
  <c r="G47" i="10" s="1"/>
  <c r="G48" i="10" a="1"/>
  <c r="G48" i="10"/>
  <c r="G49" i="10" a="1"/>
  <c r="G49" i="10" s="1"/>
  <c r="G50" i="10" a="1"/>
  <c r="G50" i="10" s="1"/>
  <c r="G51" i="10" a="1"/>
  <c r="G51" i="10" s="1"/>
  <c r="G52" i="10" a="1"/>
  <c r="G52" i="10" s="1"/>
  <c r="G53" i="10" a="1"/>
  <c r="G53" i="10" s="1"/>
  <c r="G54" i="10" a="1"/>
  <c r="G54" i="10" s="1"/>
  <c r="G55" i="10" a="1"/>
  <c r="G55" i="10" s="1"/>
  <c r="G56" i="10" a="1"/>
  <c r="G56" i="10"/>
  <c r="G57" i="10" a="1"/>
  <c r="G57" i="10" s="1"/>
  <c r="G58" i="10" a="1"/>
  <c r="G58" i="10" s="1"/>
  <c r="G59" i="10" a="1"/>
  <c r="G59" i="10" s="1"/>
  <c r="G60" i="10" a="1"/>
  <c r="G60" i="10"/>
  <c r="G61" i="10" a="1"/>
  <c r="G61" i="10" s="1"/>
  <c r="G62" i="10" a="1"/>
  <c r="G62" i="10" s="1"/>
  <c r="G63" i="10" a="1"/>
  <c r="G63" i="10" s="1"/>
  <c r="G64" i="10" a="1"/>
  <c r="G64" i="10"/>
  <c r="G65" i="10" a="1"/>
  <c r="G65" i="10" s="1"/>
  <c r="G66" i="10" a="1"/>
  <c r="G66" i="10" s="1"/>
  <c r="G67" i="10" a="1"/>
  <c r="G67" i="10" s="1"/>
  <c r="G68" i="10" a="1"/>
  <c r="G68" i="10"/>
  <c r="G69" i="10" a="1"/>
  <c r="G69" i="10" s="1"/>
  <c r="G70" i="10" a="1"/>
  <c r="G70" i="10" s="1"/>
  <c r="G71" i="10" a="1"/>
  <c r="G71" i="10" s="1"/>
  <c r="G72" i="10" a="1"/>
  <c r="G72" i="10"/>
  <c r="G73" i="10" a="1"/>
  <c r="G73" i="10" s="1"/>
  <c r="G74" i="10" a="1"/>
  <c r="G74" i="10" s="1"/>
  <c r="G75" i="10" a="1"/>
  <c r="G75" i="10" s="1"/>
  <c r="G76" i="10" a="1"/>
  <c r="G76" i="10"/>
  <c r="G77" i="10" a="1"/>
  <c r="G77" i="10" s="1"/>
  <c r="G78" i="10" a="1"/>
  <c r="G78" i="10" s="1"/>
  <c r="G79" i="10" a="1"/>
  <c r="G79" i="10" s="1"/>
  <c r="G80" i="10" a="1"/>
  <c r="G80" i="10" s="1"/>
  <c r="G81" i="10" a="1"/>
  <c r="G81" i="10" s="1"/>
  <c r="G82" i="10" a="1"/>
  <c r="G82" i="10" s="1"/>
  <c r="G83" i="10" a="1"/>
  <c r="G83" i="10" s="1"/>
  <c r="G84" i="10" a="1"/>
  <c r="G84" i="10" s="1"/>
  <c r="G85" i="10" a="1"/>
  <c r="G85" i="10" s="1"/>
  <c r="G86" i="10" a="1"/>
  <c r="G86" i="10" s="1"/>
  <c r="G87" i="10" a="1"/>
  <c r="G87" i="10" s="1"/>
  <c r="G88" i="10" a="1"/>
  <c r="G88" i="10" s="1"/>
  <c r="G89" i="10" a="1"/>
  <c r="G89" i="10" s="1"/>
  <c r="G90" i="10" a="1"/>
  <c r="G90" i="10" s="1"/>
  <c r="G91" i="10" a="1"/>
  <c r="G91" i="10" s="1"/>
  <c r="G92" i="10" a="1"/>
  <c r="G92" i="10" s="1"/>
  <c r="G93" i="10" a="1"/>
  <c r="G93" i="10" s="1"/>
  <c r="G94" i="10" a="1"/>
  <c r="G94" i="10" s="1"/>
  <c r="G95" i="10" a="1"/>
  <c r="G95" i="10" s="1"/>
  <c r="G96" i="10" a="1"/>
  <c r="G96" i="10" s="1"/>
  <c r="G97" i="10" a="1"/>
  <c r="G97" i="10" s="1"/>
  <c r="G98" i="10" a="1"/>
  <c r="G98" i="10" s="1"/>
  <c r="G99" i="10" a="1"/>
  <c r="G99" i="10" s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D3" i="10" a="1"/>
  <c r="D3" i="10" s="1"/>
  <c r="D4" i="10" a="1"/>
  <c r="D4" i="10" s="1"/>
  <c r="D5" i="10" a="1"/>
  <c r="D5" i="10" s="1"/>
  <c r="D6" i="10" a="1"/>
  <c r="D6" i="10" s="1"/>
  <c r="D7" i="10" a="1"/>
  <c r="D7" i="10" s="1"/>
  <c r="D8" i="10" a="1"/>
  <c r="D8" i="10" s="1"/>
  <c r="D9" i="10" a="1"/>
  <c r="D9" i="10" s="1"/>
  <c r="D10" i="10" a="1"/>
  <c r="D10" i="10" s="1"/>
  <c r="D11" i="10" a="1"/>
  <c r="D11" i="10" s="1"/>
  <c r="D12" i="10" a="1"/>
  <c r="D12" i="10" s="1"/>
  <c r="D13" i="10" a="1"/>
  <c r="D13" i="10" s="1"/>
  <c r="D14" i="10" a="1"/>
  <c r="D14" i="10" s="1"/>
  <c r="D15" i="10" a="1"/>
  <c r="D15" i="10" s="1"/>
  <c r="D16" i="10" a="1"/>
  <c r="D16" i="10" s="1"/>
  <c r="D17" i="10" a="1"/>
  <c r="D17" i="10" s="1"/>
  <c r="D18" i="10" a="1"/>
  <c r="D18" i="10" s="1"/>
  <c r="D19" i="10" a="1"/>
  <c r="D19" i="10" s="1"/>
  <c r="D20" i="10" a="1"/>
  <c r="D20" i="10" s="1"/>
  <c r="D21" i="10" a="1"/>
  <c r="D21" i="10" s="1"/>
  <c r="D22" i="10" a="1"/>
  <c r="D22" i="10" s="1"/>
  <c r="D23" i="10" a="1"/>
  <c r="D23" i="10" s="1"/>
  <c r="D24" i="10" a="1"/>
  <c r="D24" i="10" s="1"/>
  <c r="D25" i="10" a="1"/>
  <c r="D25" i="10" s="1"/>
  <c r="D26" i="10" a="1"/>
  <c r="D26" i="10" s="1"/>
  <c r="D27" i="10" a="1"/>
  <c r="D27" i="10" s="1"/>
  <c r="D28" i="10" a="1"/>
  <c r="D28" i="10" s="1"/>
  <c r="D29" i="10" a="1"/>
  <c r="D29" i="10" s="1"/>
  <c r="D30" i="10" a="1"/>
  <c r="D30" i="10" s="1"/>
  <c r="D31" i="10" a="1"/>
  <c r="D31" i="10" s="1"/>
  <c r="D32" i="10" a="1"/>
  <c r="D32" i="10" s="1"/>
  <c r="D33" i="10" a="1"/>
  <c r="D33" i="10" s="1"/>
  <c r="D34" i="10" a="1"/>
  <c r="D34" i="10" s="1"/>
  <c r="D35" i="10" a="1"/>
  <c r="D35" i="10" s="1"/>
  <c r="D36" i="10" a="1"/>
  <c r="D36" i="10" s="1"/>
  <c r="D37" i="10" a="1"/>
  <c r="D37" i="10" s="1"/>
  <c r="D38" i="10" a="1"/>
  <c r="D38" i="10" s="1"/>
  <c r="D39" i="10" a="1"/>
  <c r="D39" i="10" s="1"/>
  <c r="D40" i="10" a="1"/>
  <c r="D40" i="10" s="1"/>
  <c r="D41" i="10" a="1"/>
  <c r="D41" i="10" s="1"/>
  <c r="D42" i="10" a="1"/>
  <c r="D42" i="10" s="1"/>
  <c r="D43" i="10" a="1"/>
  <c r="D43" i="10" s="1"/>
  <c r="D44" i="10" a="1"/>
  <c r="D44" i="10" s="1"/>
  <c r="D45" i="10" a="1"/>
  <c r="D45" i="10" s="1"/>
  <c r="D46" i="10" a="1"/>
  <c r="D46" i="10" s="1"/>
  <c r="D47" i="10" a="1"/>
  <c r="D47" i="10" s="1"/>
  <c r="D48" i="10" a="1"/>
  <c r="D48" i="10" s="1"/>
  <c r="D49" i="10" a="1"/>
  <c r="D49" i="10" s="1"/>
  <c r="D50" i="10" a="1"/>
  <c r="D50" i="10" s="1"/>
  <c r="D51" i="10" a="1"/>
  <c r="D51" i="10" s="1"/>
  <c r="D52" i="10" a="1"/>
  <c r="D52" i="10" s="1"/>
  <c r="D53" i="10" a="1"/>
  <c r="D53" i="10" s="1"/>
  <c r="D54" i="10" a="1"/>
  <c r="D54" i="10" s="1"/>
  <c r="D55" i="10" a="1"/>
  <c r="D55" i="10" s="1"/>
  <c r="D56" i="10" a="1"/>
  <c r="D56" i="10" s="1"/>
  <c r="D57" i="10" a="1"/>
  <c r="D57" i="10" s="1"/>
  <c r="D58" i="10" a="1"/>
  <c r="D58" i="10" s="1"/>
  <c r="D59" i="10" a="1"/>
  <c r="D59" i="10" s="1"/>
  <c r="D60" i="10" a="1"/>
  <c r="D60" i="10" s="1"/>
  <c r="D61" i="10" a="1"/>
  <c r="D61" i="10" s="1"/>
  <c r="D62" i="10" a="1"/>
  <c r="D62" i="10" s="1"/>
  <c r="D63" i="10" a="1"/>
  <c r="D63" i="10" s="1"/>
  <c r="D64" i="10" a="1"/>
  <c r="D64" i="10" s="1"/>
  <c r="D65" i="10" a="1"/>
  <c r="D65" i="10" s="1"/>
  <c r="D66" i="10" a="1"/>
  <c r="D66" i="10" s="1"/>
  <c r="D67" i="10" a="1"/>
  <c r="D67" i="10" s="1"/>
  <c r="D68" i="10" a="1"/>
  <c r="D68" i="10" s="1"/>
  <c r="D69" i="10" a="1"/>
  <c r="D69" i="10" s="1"/>
  <c r="D70" i="10" a="1"/>
  <c r="D70" i="10" s="1"/>
  <c r="D71" i="10" a="1"/>
  <c r="D71" i="10" s="1"/>
  <c r="D72" i="10" a="1"/>
  <c r="D72" i="10" s="1"/>
  <c r="D73" i="10" a="1"/>
  <c r="D73" i="10" s="1"/>
  <c r="D74" i="10" a="1"/>
  <c r="D74" i="10" s="1"/>
  <c r="D75" i="10" a="1"/>
  <c r="D75" i="10" s="1"/>
  <c r="D76" i="10" a="1"/>
  <c r="D76" i="10" s="1"/>
  <c r="D77" i="10" a="1"/>
  <c r="D77" i="10" s="1"/>
  <c r="D78" i="10" a="1"/>
  <c r="D78" i="10" s="1"/>
  <c r="D79" i="10" a="1"/>
  <c r="D79" i="10" s="1"/>
  <c r="D80" i="10" a="1"/>
  <c r="D80" i="10" s="1"/>
  <c r="D81" i="10" a="1"/>
  <c r="D81" i="10" s="1"/>
  <c r="D82" i="10" a="1"/>
  <c r="D82" i="10" s="1"/>
  <c r="D83" i="10" a="1"/>
  <c r="D83" i="10" s="1"/>
  <c r="D84" i="10" a="1"/>
  <c r="D84" i="10" s="1"/>
  <c r="D85" i="10" a="1"/>
  <c r="D85" i="10" s="1"/>
  <c r="D86" i="10" a="1"/>
  <c r="D86" i="10" s="1"/>
  <c r="D87" i="10" a="1"/>
  <c r="D87" i="10" s="1"/>
  <c r="D88" i="10" a="1"/>
  <c r="D88" i="10" s="1"/>
  <c r="D89" i="10" a="1"/>
  <c r="D89" i="10" s="1"/>
  <c r="D90" i="10" a="1"/>
  <c r="D90" i="10" s="1"/>
  <c r="D91" i="10" a="1"/>
  <c r="D91" i="10" s="1"/>
  <c r="D92" i="10" a="1"/>
  <c r="D92" i="10" s="1"/>
  <c r="D93" i="10" a="1"/>
  <c r="D93" i="10" s="1"/>
  <c r="D94" i="10" a="1"/>
  <c r="D94" i="10" s="1"/>
  <c r="D95" i="10" a="1"/>
  <c r="D95" i="10" s="1"/>
  <c r="D96" i="10" a="1"/>
  <c r="D96" i="10" s="1"/>
  <c r="D97" i="10" a="1"/>
  <c r="D97" i="10" s="1"/>
  <c r="D98" i="10" a="1"/>
  <c r="D98" i="10" s="1"/>
  <c r="D99" i="10" a="1"/>
  <c r="D99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25" i="10" a="1"/>
  <c r="C25" i="10" s="1"/>
  <c r="C26" i="10" a="1"/>
  <c r="C26" i="10" s="1"/>
  <c r="C27" i="10" a="1"/>
  <c r="C27" i="10" s="1"/>
  <c r="C28" i="10" a="1"/>
  <c r="C28" i="10" s="1"/>
  <c r="C29" i="10" a="1"/>
  <c r="C29" i="10" s="1"/>
  <c r="C30" i="10" a="1"/>
  <c r="C30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37" i="10" a="1"/>
  <c r="C37" i="10" s="1"/>
  <c r="C38" i="10" a="1"/>
  <c r="C38" i="10"/>
  <c r="C39" i="10" a="1"/>
  <c r="C39" i="10" s="1"/>
  <c r="C40" i="10" a="1"/>
  <c r="C40" i="10" s="1"/>
  <c r="C41" i="10" a="1"/>
  <c r="C41" i="10" s="1"/>
  <c r="C42" i="10" a="1"/>
  <c r="C42" i="10" s="1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3" i="10" a="1"/>
  <c r="C53" i="10" s="1"/>
  <c r="C54" i="10" a="1"/>
  <c r="C54" i="10" s="1"/>
  <c r="C55" i="10" a="1"/>
  <c r="C55" i="10" s="1"/>
  <c r="C56" i="10" a="1"/>
  <c r="C56" i="10" s="1"/>
  <c r="C57" i="10" a="1"/>
  <c r="C57" i="10" s="1"/>
  <c r="C58" i="10" a="1"/>
  <c r="C58" i="10" s="1"/>
  <c r="C59" i="10" a="1"/>
  <c r="C59" i="10" s="1"/>
  <c r="C60" i="10" a="1"/>
  <c r="C60" i="10" s="1"/>
  <c r="C61" i="10" a="1"/>
  <c r="C61" i="10" s="1"/>
  <c r="C62" i="10" a="1"/>
  <c r="C62" i="10" s="1"/>
  <c r="C63" i="10" a="1"/>
  <c r="C63" i="10" s="1"/>
  <c r="C64" i="10" a="1"/>
  <c r="C64" i="10" s="1"/>
  <c r="C65" i="10" a="1"/>
  <c r="C65" i="10" s="1"/>
  <c r="C66" i="10" a="1"/>
  <c r="C66" i="10" s="1"/>
  <c r="C67" i="10" a="1"/>
  <c r="C67" i="10" s="1"/>
  <c r="C68" i="10" a="1"/>
  <c r="C68" i="10" s="1"/>
  <c r="C69" i="10" a="1"/>
  <c r="C69" i="10" s="1"/>
  <c r="C70" i="10" a="1"/>
  <c r="C70" i="10" s="1"/>
  <c r="C71" i="10" a="1"/>
  <c r="C71" i="10" s="1"/>
  <c r="C72" i="10" a="1"/>
  <c r="C72" i="10" s="1"/>
  <c r="C73" i="10" a="1"/>
  <c r="C73" i="10" s="1"/>
  <c r="C74" i="10" a="1"/>
  <c r="C74" i="10" s="1"/>
  <c r="C75" i="10" a="1"/>
  <c r="C75" i="10" s="1"/>
  <c r="C76" i="10" a="1"/>
  <c r="C76" i="10" s="1"/>
  <c r="C77" i="10" a="1"/>
  <c r="C77" i="10" s="1"/>
  <c r="C78" i="10" a="1"/>
  <c r="C78" i="10" s="1"/>
  <c r="C79" i="10" a="1"/>
  <c r="C79" i="10" s="1"/>
  <c r="C80" i="10" a="1"/>
  <c r="C80" i="10" s="1"/>
  <c r="C81" i="10" a="1"/>
  <c r="C81" i="10" s="1"/>
  <c r="C82" i="10" a="1"/>
  <c r="C82" i="10" s="1"/>
  <c r="C83" i="10" a="1"/>
  <c r="C83" i="10" s="1"/>
  <c r="C84" i="10" a="1"/>
  <c r="C84" i="10" s="1"/>
  <c r="C85" i="10" a="1"/>
  <c r="C85" i="10" s="1"/>
  <c r="C86" i="10" a="1"/>
  <c r="C86" i="10" s="1"/>
  <c r="C87" i="10" a="1"/>
  <c r="C87" i="10" s="1"/>
  <c r="C88" i="10" a="1"/>
  <c r="C88" i="10" s="1"/>
  <c r="C89" i="10" a="1"/>
  <c r="C89" i="10" s="1"/>
  <c r="C90" i="10" a="1"/>
  <c r="C90" i="10" s="1"/>
  <c r="C91" i="10" a="1"/>
  <c r="C91" i="10" s="1"/>
  <c r="C92" i="10" a="1"/>
  <c r="C92" i="10" s="1"/>
  <c r="C93" i="10" a="1"/>
  <c r="C93" i="10" s="1"/>
  <c r="C94" i="10" a="1"/>
  <c r="C94" i="10" s="1"/>
  <c r="C95" i="10" a="1"/>
  <c r="C95" i="10" s="1"/>
  <c r="C96" i="10" a="1"/>
  <c r="C96" i="10" s="1"/>
  <c r="C97" i="10" a="1"/>
  <c r="C97" i="10" s="1"/>
  <c r="C98" i="10" a="1"/>
  <c r="C98" i="10" s="1"/>
  <c r="C99" i="10" a="1"/>
  <c r="C99" i="10" s="1"/>
  <c r="D8" i="11"/>
  <c r="D7" i="11"/>
  <c r="D11" i="11" s="1"/>
  <c r="D5" i="11"/>
  <c r="H5" i="7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T5" i="7" s="1"/>
  <c r="AU5" i="7" s="1"/>
  <c r="AV5" i="7" s="1"/>
  <c r="D5" i="7"/>
  <c r="H4" i="7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AG4" i="7" s="1"/>
  <c r="AH4" i="7" s="1"/>
  <c r="AI4" i="7" s="1"/>
  <c r="AJ4" i="7" s="1"/>
  <c r="AK4" i="7" s="1"/>
  <c r="AL4" i="7" s="1"/>
  <c r="AM4" i="7" s="1"/>
  <c r="AN4" i="7" s="1"/>
  <c r="AO4" i="7" s="1"/>
  <c r="AP4" i="7" s="1"/>
  <c r="AQ4" i="7" s="1"/>
  <c r="AR4" i="7" s="1"/>
  <c r="AS4" i="7" s="1"/>
  <c r="AT4" i="7" s="1"/>
  <c r="AU4" i="7" s="1"/>
  <c r="AV4" i="7" s="1"/>
  <c r="D4" i="7"/>
  <c r="H3" i="7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V3" i="7" s="1"/>
  <c r="D3" i="7"/>
  <c r="C7" i="1"/>
  <c r="D8" i="9"/>
  <c r="D7" i="9"/>
  <c r="D11" i="9" s="1"/>
  <c r="D5" i="9"/>
  <c r="C20" i="2"/>
  <c r="C19" i="2"/>
  <c r="D16" i="2"/>
  <c r="D17" i="2" s="1"/>
  <c r="C16" i="2"/>
  <c r="C17" i="2" s="1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C14" i="2"/>
  <c r="C13" i="2"/>
  <c r="D12" i="2"/>
  <c r="C12" i="2"/>
  <c r="C11" i="2"/>
  <c r="P10" i="2"/>
  <c r="M10" i="2"/>
  <c r="D10" i="2"/>
  <c r="C10" i="2"/>
  <c r="D7" i="2"/>
  <c r="D14" i="2" s="1"/>
  <c r="D6" i="2"/>
  <c r="D13" i="2" s="1"/>
  <c r="D5" i="2"/>
  <c r="E5" i="2" s="1"/>
  <c r="E4" i="2"/>
  <c r="E11" i="2" s="1"/>
  <c r="D4" i="2"/>
  <c r="D11" i="2" s="1"/>
  <c r="P3" i="2"/>
  <c r="O3" i="2"/>
  <c r="N3" i="2"/>
  <c r="D3" i="2"/>
  <c r="E3" i="2" s="1"/>
  <c r="E12" i="2" l="1"/>
  <c r="F5" i="2"/>
  <c r="F3" i="2"/>
  <c r="E16" i="2"/>
  <c r="E19" i="2"/>
  <c r="E10" i="2"/>
  <c r="Q3" i="2"/>
  <c r="E7" i="2"/>
  <c r="E6" i="2"/>
  <c r="N10" i="2"/>
  <c r="O10" i="2"/>
  <c r="D18" i="2"/>
  <c r="D19" i="2"/>
  <c r="D20" i="2"/>
  <c r="E20" i="2"/>
  <c r="F4" i="2"/>
  <c r="F11" i="2" l="1"/>
  <c r="G4" i="2"/>
  <c r="F20" i="2"/>
  <c r="F7" i="2"/>
  <c r="E14" i="2"/>
  <c r="E17" i="2"/>
  <c r="E18" i="2"/>
  <c r="E13" i="2"/>
  <c r="F6" i="2"/>
  <c r="R3" i="2"/>
  <c r="G3" i="2"/>
  <c r="F16" i="2"/>
  <c r="F19" i="2"/>
  <c r="F10" i="2"/>
  <c r="F12" i="2"/>
  <c r="G5" i="2"/>
  <c r="F17" i="2" l="1"/>
  <c r="F18" i="2"/>
  <c r="G10" i="2"/>
  <c r="H3" i="2"/>
  <c r="G7" i="2"/>
  <c r="G16" i="2" s="1"/>
  <c r="F14" i="2"/>
  <c r="G12" i="2"/>
  <c r="H5" i="2"/>
  <c r="H4" i="2"/>
  <c r="G20" i="2"/>
  <c r="G11" i="2"/>
  <c r="F13" i="2"/>
  <c r="G6" i="2"/>
  <c r="G17" i="2" l="1"/>
  <c r="G18" i="2"/>
  <c r="H10" i="2"/>
  <c r="I3" i="2"/>
  <c r="I4" i="2"/>
  <c r="H20" i="2"/>
  <c r="H11" i="2"/>
  <c r="H12" i="2"/>
  <c r="I5" i="2"/>
  <c r="H7" i="2"/>
  <c r="G14" i="2"/>
  <c r="G19" i="2"/>
  <c r="G13" i="2"/>
  <c r="H6" i="2"/>
  <c r="I7" i="2" l="1"/>
  <c r="H14" i="2"/>
  <c r="J5" i="2"/>
  <c r="I12" i="2"/>
  <c r="H13" i="2"/>
  <c r="I6" i="2"/>
  <c r="I20" i="2"/>
  <c r="I11" i="2"/>
  <c r="J4" i="2"/>
  <c r="I10" i="2"/>
  <c r="J3" i="2"/>
  <c r="H19" i="2"/>
  <c r="H16" i="2"/>
  <c r="I13" i="2" l="1"/>
  <c r="J6" i="2"/>
  <c r="H17" i="2"/>
  <c r="H18" i="2"/>
  <c r="I16" i="2"/>
  <c r="J10" i="2"/>
  <c r="K3" i="2"/>
  <c r="J16" i="2"/>
  <c r="J12" i="2"/>
  <c r="K5" i="2"/>
  <c r="I19" i="2"/>
  <c r="J11" i="2"/>
  <c r="K4" i="2"/>
  <c r="J20" i="2"/>
  <c r="J7" i="2"/>
  <c r="I14" i="2"/>
  <c r="J17" i="2" l="1"/>
  <c r="J18" i="2"/>
  <c r="K7" i="2"/>
  <c r="J14" i="2"/>
  <c r="K10" i="2"/>
  <c r="L3" i="2"/>
  <c r="K16" i="2"/>
  <c r="K19" i="2"/>
  <c r="I18" i="2"/>
  <c r="I17" i="2"/>
  <c r="K11" i="2"/>
  <c r="L4" i="2"/>
  <c r="K20" i="2"/>
  <c r="K12" i="2"/>
  <c r="L5" i="2"/>
  <c r="J13" i="2"/>
  <c r="K6" i="2"/>
  <c r="J19" i="2"/>
  <c r="L12" i="2" l="1"/>
  <c r="M5" i="2"/>
  <c r="K17" i="2"/>
  <c r="K18" i="2"/>
  <c r="L10" i="2"/>
  <c r="L19" i="2"/>
  <c r="L11" i="2"/>
  <c r="M4" i="2"/>
  <c r="L20" i="2"/>
  <c r="L7" i="2"/>
  <c r="K14" i="2"/>
  <c r="K13" i="2"/>
  <c r="L6" i="2"/>
  <c r="L13" i="2" l="1"/>
  <c r="M6" i="2"/>
  <c r="L16" i="2"/>
  <c r="L14" i="2"/>
  <c r="M7" i="2"/>
  <c r="M12" i="2"/>
  <c r="N5" i="2"/>
  <c r="M11" i="2"/>
  <c r="N4" i="2"/>
  <c r="M20" i="2"/>
  <c r="N12" i="2" l="1"/>
  <c r="O5" i="2"/>
  <c r="N7" i="2"/>
  <c r="M14" i="2"/>
  <c r="M19" i="2"/>
  <c r="L17" i="2"/>
  <c r="L18" i="2"/>
  <c r="N11" i="2"/>
  <c r="O4" i="2"/>
  <c r="N20" i="2"/>
  <c r="M13" i="2"/>
  <c r="N6" i="2"/>
  <c r="M16" i="2"/>
  <c r="M17" i="2" l="1"/>
  <c r="M18" i="2"/>
  <c r="N13" i="2"/>
  <c r="O6" i="2"/>
  <c r="N19" i="2"/>
  <c r="N16" i="2"/>
  <c r="O7" i="2"/>
  <c r="N14" i="2"/>
  <c r="O12" i="2"/>
  <c r="P5" i="2"/>
  <c r="P4" i="2"/>
  <c r="O20" i="2"/>
  <c r="O11" i="2"/>
  <c r="O19" i="2"/>
  <c r="P7" i="2" l="1"/>
  <c r="O14" i="2"/>
  <c r="O16" i="2"/>
  <c r="N17" i="2"/>
  <c r="N18" i="2"/>
  <c r="O13" i="2"/>
  <c r="P6" i="2"/>
  <c r="P19" i="2" s="1"/>
  <c r="Q4" i="2"/>
  <c r="P20" i="2"/>
  <c r="P11" i="2"/>
  <c r="P12" i="2"/>
  <c r="Q5" i="2"/>
  <c r="R5" i="2" s="1"/>
  <c r="Q20" i="2" l="1"/>
  <c r="R4" i="2"/>
  <c r="P13" i="2"/>
  <c r="Q6" i="2"/>
  <c r="R6" i="2" s="1"/>
  <c r="P16" i="2"/>
  <c r="O17" i="2"/>
  <c r="O18" i="2"/>
  <c r="Q7" i="2"/>
  <c r="R7" i="2" s="1"/>
  <c r="P14" i="2"/>
  <c r="P17" i="2" l="1"/>
  <c r="P18" i="2"/>
  <c r="Q19" i="2"/>
  <c r="Q16" i="2"/>
  <c r="R20" i="2"/>
  <c r="R16" i="2"/>
  <c r="R19" i="2"/>
  <c r="R17" i="2" l="1"/>
  <c r="R18" i="2"/>
  <c r="Q18" i="2"/>
  <c r="Q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<sst xmlns="http://schemas.openxmlformats.org/spreadsheetml/2006/main" count="2990" uniqueCount="639">
  <si>
    <t>Account Type</t>
  </si>
  <si>
    <t>Account Type Group</t>
  </si>
  <si>
    <t>Brokerage</t>
  </si>
  <si>
    <t>Trust</t>
  </si>
  <si>
    <t>Custodial (UTMA/UGMA)</t>
  </si>
  <si>
    <t>Traditional IRA</t>
  </si>
  <si>
    <t>Retirement</t>
  </si>
  <si>
    <t>Roth IRA</t>
  </si>
  <si>
    <t>Traditional 401k</t>
  </si>
  <si>
    <t>Roth 401k</t>
  </si>
  <si>
    <t>403b</t>
  </si>
  <si>
    <t>SEP-IRA</t>
  </si>
  <si>
    <t>SIMPLE IRA</t>
  </si>
  <si>
    <t>Inherited IRA</t>
  </si>
  <si>
    <t>Pension</t>
  </si>
  <si>
    <t>HSA</t>
  </si>
  <si>
    <t>ESA</t>
  </si>
  <si>
    <t>Coverdell</t>
  </si>
  <si>
    <t>RSU</t>
  </si>
  <si>
    <t>Account</t>
  </si>
  <si>
    <t>Owner</t>
  </si>
  <si>
    <t>Account Name</t>
  </si>
  <si>
    <t>XX123</t>
  </si>
  <si>
    <t>Drew</t>
  </si>
  <si>
    <t>Drew's Market</t>
  </si>
  <si>
    <t>XX456</t>
  </si>
  <si>
    <t>Shaun</t>
  </si>
  <si>
    <t>Shaua's Retirement</t>
  </si>
  <si>
    <t>XX789</t>
  </si>
  <si>
    <t>Jackson</t>
  </si>
  <si>
    <t>Jackson Health</t>
  </si>
  <si>
    <t>I captured data at month end balances</t>
  </si>
  <si>
    <t>Mortgage</t>
  </si>
  <si>
    <t>Savings, Checking, CDs</t>
  </si>
  <si>
    <t>RSUs</t>
  </si>
  <si>
    <t>Assets</t>
  </si>
  <si>
    <t>ESAs</t>
  </si>
  <si>
    <t>Loans R12 Detla</t>
  </si>
  <si>
    <t>Cash R12 Detla</t>
  </si>
  <si>
    <t>Stocks R12 Detla</t>
  </si>
  <si>
    <t>RSUs, R12 Detla</t>
  </si>
  <si>
    <t>Retirement, R12 Detla</t>
  </si>
  <si>
    <t>College, R12 Detla</t>
  </si>
  <si>
    <t>NET WORTH</t>
  </si>
  <si>
    <t>R12 NET WORTH Delta</t>
  </si>
  <si>
    <t>MoM</t>
  </si>
  <si>
    <t>DEBT RATIO</t>
  </si>
  <si>
    <t>CASH / INVESTMENT</t>
  </si>
  <si>
    <t>Source</t>
  </si>
  <si>
    <t>Target</t>
  </si>
  <si>
    <t>Value</t>
  </si>
  <si>
    <t>Net Salary</t>
  </si>
  <si>
    <t>Emergency '25</t>
  </si>
  <si>
    <t>Emergency '26</t>
  </si>
  <si>
    <t>Net Bonus</t>
  </si>
  <si>
    <t>Savings '25</t>
  </si>
  <si>
    <t>Savings '26</t>
  </si>
  <si>
    <t>Non-Discretionary Spending</t>
  </si>
  <si>
    <t>Kids</t>
  </si>
  <si>
    <t>Discretionary Spending</t>
  </si>
  <si>
    <t>Education</t>
  </si>
  <si>
    <t>Travel</t>
  </si>
  <si>
    <t>Investing</t>
  </si>
  <si>
    <t>Whatever We Want</t>
  </si>
  <si>
    <t>Property</t>
  </si>
  <si>
    <t>&lt;Your Address&gt;</t>
  </si>
  <si>
    <t>Principal</t>
  </si>
  <si>
    <t>Origination Date</t>
  </si>
  <si>
    <t>Term in years</t>
  </si>
  <si>
    <t>Rate</t>
  </si>
  <si>
    <t>Payment</t>
  </si>
  <si>
    <t>Lila's first year of college</t>
  </si>
  <si>
    <t>Estimated last semester in college</t>
  </si>
  <si>
    <t>Lila's last semester</t>
  </si>
  <si>
    <t>Etta's first semester</t>
  </si>
  <si>
    <t>Etta's last semester</t>
  </si>
  <si>
    <t>Child</t>
  </si>
  <si>
    <t>Estimated Tuition per Year</t>
  </si>
  <si>
    <t>Remaining Tuition</t>
  </si>
  <si>
    <t>College Start Date</t>
  </si>
  <si>
    <t>Monthly Contribution</t>
  </si>
  <si>
    <t>Kid 1</t>
  </si>
  <si>
    <t>Kid 2</t>
  </si>
  <si>
    <t>Kid 3</t>
  </si>
  <si>
    <t>Transaction</t>
  </si>
  <si>
    <t>Symbol</t>
  </si>
  <si>
    <t>Security Description</t>
  </si>
  <si>
    <t>Date Acquired</t>
  </si>
  <si>
    <t>Shares Bought</t>
  </si>
  <si>
    <t>Cost Basis Per Share</t>
  </si>
  <si>
    <t>Date Sold</t>
  </si>
  <si>
    <t>Charitable Donation</t>
  </si>
  <si>
    <t>Shares Sold</t>
  </si>
  <si>
    <t>Sell Basis Per Share</t>
  </si>
  <si>
    <t>AAPL</t>
  </si>
  <si>
    <t/>
  </si>
  <si>
    <t>Yes</t>
  </si>
  <si>
    <t>ABNB</t>
  </si>
  <si>
    <t>AMZN</t>
  </si>
  <si>
    <t>DE</t>
  </si>
  <si>
    <t>MSFT</t>
  </si>
  <si>
    <t>NFLX</t>
  </si>
  <si>
    <t>NKE</t>
  </si>
  <si>
    <t>NVDA</t>
  </si>
  <si>
    <t>Scenario 1</t>
  </si>
  <si>
    <t>Stop Working</t>
  </si>
  <si>
    <t>Benefit Commencement</t>
  </si>
  <si>
    <t>Contemporary Benefit</t>
  </si>
  <si>
    <t>Beneficiary</t>
  </si>
  <si>
    <t>Spouse</t>
  </si>
  <si>
    <t>Beneficiary Date of Birth</t>
  </si>
  <si>
    <t>Salary Increase Percent</t>
  </si>
  <si>
    <t>Short Term Incentive Percent</t>
  </si>
  <si>
    <t>My Date of Birth</t>
  </si>
  <si>
    <t>Contemporary Benefit Options</t>
  </si>
  <si>
    <t>You</t>
  </si>
  <si>
    <t>Surviving Beneficiary</t>
  </si>
  <si>
    <t>Lump Sum</t>
  </si>
  <si>
    <t>One-time</t>
  </si>
  <si>
    <t>When</t>
  </si>
  <si>
    <t>Single Life Annuity</t>
  </si>
  <si>
    <t>Benefit</t>
  </si>
  <si>
    <t>Monthly</t>
  </si>
  <si>
    <t>Social Security Offset with Single Life Annuity</t>
  </si>
  <si>
    <t>Starting benefit</t>
  </si>
  <si>
    <t>Leveling Amount</t>
  </si>
  <si>
    <t>55% Joint &amp; Survivor Annuity with Pop-Up</t>
  </si>
  <si>
    <t>Social Security Offset with 55% Joint &amp; Survivor Annuity with Pop-Up</t>
  </si>
  <si>
    <t>75% Joint &amp; Survivor Annuity with Pop-Up</t>
  </si>
  <si>
    <t>Social Security Offset with 75% Joint &amp; Survivor Annuity with Pop-Up</t>
  </si>
  <si>
    <t>Senior Supplementary Benefit</t>
  </si>
  <si>
    <t>APPLE INC</t>
  </si>
  <si>
    <t>ABBV</t>
  </si>
  <si>
    <t>ABBVIE INC COM</t>
  </si>
  <si>
    <t>AIRBNB INC COM CL A</t>
  </si>
  <si>
    <t>ACN</t>
  </si>
  <si>
    <t>ACCENTURE PLC</t>
  </si>
  <si>
    <t>ADBE</t>
  </si>
  <si>
    <t>ADOBE SYSTEMS INCORPORATED COM</t>
  </si>
  <si>
    <t>AI</t>
  </si>
  <si>
    <t>C3 AI INC CL A</t>
  </si>
  <si>
    <t>AMD</t>
  </si>
  <si>
    <t>ADVANCED MICRO DEVICES INC</t>
  </si>
  <si>
    <t>AMAZON.COM INC</t>
  </si>
  <si>
    <t>ANET</t>
  </si>
  <si>
    <t>ARISTA NETWORKS INC COM USD0.0001</t>
  </si>
  <si>
    <t>APPN</t>
  </si>
  <si>
    <t>APPIAN CORP CL A</t>
  </si>
  <si>
    <t>ASAN</t>
  </si>
  <si>
    <t>ASANA INC CL A</t>
  </si>
  <si>
    <t>ASML</t>
  </si>
  <si>
    <t>ASML HOLDING NV EUR0.09 NY REGISTRY SHS 2012</t>
  </si>
  <si>
    <t>ATVI</t>
  </si>
  <si>
    <t>ACTIVISION BLIZZARD INC COM</t>
  </si>
  <si>
    <t>BBIO</t>
  </si>
  <si>
    <t>BRIDGEBIO PHARMA INC COM</t>
  </si>
  <si>
    <t>BKNG</t>
  </si>
  <si>
    <t>BOOKING HOLDINGS INCCOM</t>
  </si>
  <si>
    <t>BOOKING HOLDINGS INC COM</t>
  </si>
  <si>
    <t>BLK</t>
  </si>
  <si>
    <t>BLACKROCK INC COM</t>
  </si>
  <si>
    <t>BRKB</t>
  </si>
  <si>
    <t>BERKSHIRE HATHAWAY INC COM USD0.0033 CLASS B</t>
  </si>
  <si>
    <t>BTC-USD</t>
  </si>
  <si>
    <t>Bitcoin</t>
  </si>
  <si>
    <t>CART</t>
  </si>
  <si>
    <t>MAPLEBEAR INC COM</t>
  </si>
  <si>
    <t>CASY</t>
  </si>
  <si>
    <t>CASEYS GENERAL STORES INC</t>
  </si>
  <si>
    <t>CAVA</t>
  </si>
  <si>
    <t>CAVA GROUP INC COM</t>
  </si>
  <si>
    <t>CELH</t>
  </si>
  <si>
    <t>CELSIUS HLDGS INC COM NEW</t>
  </si>
  <si>
    <t>CGNX</t>
  </si>
  <si>
    <t>COGNEX CORP COM</t>
  </si>
  <si>
    <t>CHGG</t>
  </si>
  <si>
    <t>CHEGG INC COM</t>
  </si>
  <si>
    <t>CMG</t>
  </si>
  <si>
    <t>CHIPOTLE MEXICAN GRILL INC</t>
  </si>
  <si>
    <t>COST</t>
  </si>
  <si>
    <t>COSTCO WHOLESALE CORP COM USD0.01</t>
  </si>
  <si>
    <t>CRM</t>
  </si>
  <si>
    <t>SALESFORCE.COM INC COM USD0.001</t>
  </si>
  <si>
    <t>CRTO</t>
  </si>
  <si>
    <t>CRITEO ADR REP ORD</t>
  </si>
  <si>
    <t>CRWD</t>
  </si>
  <si>
    <t>CROWDSTRIKE HLDGS INC CL A</t>
  </si>
  <si>
    <t>DASH</t>
  </si>
  <si>
    <t>DOORDASH INC CL A</t>
  </si>
  <si>
    <t>DASTY</t>
  </si>
  <si>
    <t>DASSAULT SYSTEMES SPON ADR EACH REP 1 ORD SHS</t>
  </si>
  <si>
    <t>DDD</t>
  </si>
  <si>
    <t>3 D SYSTEMS INC COM USD0.001</t>
  </si>
  <si>
    <t>DDOG</t>
  </si>
  <si>
    <t>DATADOG INC CL A COM</t>
  </si>
  <si>
    <t>DEERE &amp; CO</t>
  </si>
  <si>
    <t>DIS</t>
  </si>
  <si>
    <t>DISNEY WALT CO COM</t>
  </si>
  <si>
    <t>DOCN</t>
  </si>
  <si>
    <t>DIGITALOCEAN HLDGS INC COM</t>
  </si>
  <si>
    <t>DOCS</t>
  </si>
  <si>
    <t>Doximity</t>
  </si>
  <si>
    <t>DOCU</t>
  </si>
  <si>
    <t>DOCUSIGN INC COM</t>
  </si>
  <si>
    <t>DUOL</t>
  </si>
  <si>
    <t>DUOLINGO INC CL A COM</t>
  </si>
  <si>
    <t>EBAY</t>
  </si>
  <si>
    <t>EBAY INC. COM</t>
  </si>
  <si>
    <t>ESTC</t>
  </si>
  <si>
    <t>ELASTIC N V COM EUR0.01</t>
  </si>
  <si>
    <t>ETH-USD</t>
  </si>
  <si>
    <t>Euthereum</t>
  </si>
  <si>
    <t>FB</t>
  </si>
  <si>
    <t>FACEBOOK INC-CLASS A</t>
  </si>
  <si>
    <t>FTEC</t>
  </si>
  <si>
    <t>FIDELITY MSCI INFORMATION TECHNOLOGY INDEX ETF</t>
  </si>
  <si>
    <t>FTNT</t>
  </si>
  <si>
    <t>FORTINET INC COM</t>
  </si>
  <si>
    <t>FVRR</t>
  </si>
  <si>
    <t>FIVERR INTERNATIONAL LTD COM NPV</t>
  </si>
  <si>
    <t>GMED</t>
  </si>
  <si>
    <t>GLOBUS MEDICAL INC</t>
  </si>
  <si>
    <t>GOOG</t>
  </si>
  <si>
    <t>ALPHABET INC CAP STKCL C</t>
  </si>
  <si>
    <t>ALPHABET INC CAP STK CL C</t>
  </si>
  <si>
    <t>HAIN</t>
  </si>
  <si>
    <t>HAIN CELESTIAL GROUPINC</t>
  </si>
  <si>
    <t>HD</t>
  </si>
  <si>
    <t>HOME DEPOT INC</t>
  </si>
  <si>
    <t>HSY</t>
  </si>
  <si>
    <t>HERSHEY COMPANY COM USD1.00</t>
  </si>
  <si>
    <t>HUBS</t>
  </si>
  <si>
    <t>HUBSPOT INC</t>
  </si>
  <si>
    <t>INTC</t>
  </si>
  <si>
    <t>INTEL CORP COM</t>
  </si>
  <si>
    <t>ISRG</t>
  </si>
  <si>
    <t>Intuitive Surgical</t>
  </si>
  <si>
    <t>JPM</t>
  </si>
  <si>
    <t>JPMORGAN CHASE &amp;CO. COM</t>
  </si>
  <si>
    <t>KD</t>
  </si>
  <si>
    <t>KYNDRYL HLDGS INC COMMON STOCK</t>
  </si>
  <si>
    <t>KLAR</t>
  </si>
  <si>
    <t>KLARNA GROUP PLC</t>
  </si>
  <si>
    <t>KNSL</t>
  </si>
  <si>
    <t>KINSALE CAP GROUP INC COM</t>
  </si>
  <si>
    <t>LGF</t>
  </si>
  <si>
    <t>LIONS GATE ENTERTAINMENT CORP ISIN #CA5359192039 SEDOL #2753506 *REORGANIZATION*</t>
  </si>
  <si>
    <t>LMND</t>
  </si>
  <si>
    <t>LEMONADE INC COM</t>
  </si>
  <si>
    <t>LNKD</t>
  </si>
  <si>
    <t>LINKEDIN CORP COM USD0.0001 ISIN #US53578A1088 SEDOL #BLWDMP2</t>
  </si>
  <si>
    <t>LULU</t>
  </si>
  <si>
    <t>LULULEMON ATHLETICA INC COM USD0.005</t>
  </si>
  <si>
    <t>MDB</t>
  </si>
  <si>
    <t>MONGODB INC CL A</t>
  </si>
  <si>
    <t>MELI</t>
  </si>
  <si>
    <t>MERCADOLIBRE INC COM USD0.001</t>
  </si>
  <si>
    <t>META</t>
  </si>
  <si>
    <t>MRVL</t>
  </si>
  <si>
    <t>MARVELL TECHNOLOGY INC COM</t>
  </si>
  <si>
    <t>MICROSOFT CORP</t>
  </si>
  <si>
    <t>MTCH</t>
  </si>
  <si>
    <t>MATCH GROUP INC NEW COM</t>
  </si>
  <si>
    <t>MTN</t>
  </si>
  <si>
    <t>VAIL RESORTS INC</t>
  </si>
  <si>
    <t>NCR</t>
  </si>
  <si>
    <t>NCR CORP</t>
  </si>
  <si>
    <t>NET</t>
  </si>
  <si>
    <t>Cloudflare Inc CL A COM</t>
  </si>
  <si>
    <t>NETFLIX INC</t>
  </si>
  <si>
    <t>NIKE INC CLASS B COMNPV</t>
  </si>
  <si>
    <t>NIKE INC CLASS B COM NPV</t>
  </si>
  <si>
    <t>NVIDIA CORPORATION COM</t>
  </si>
  <si>
    <t>OKTA</t>
  </si>
  <si>
    <t>OKTA INC CL A</t>
  </si>
  <si>
    <t>PATH</t>
  </si>
  <si>
    <t>UIPATH INC CL A</t>
  </si>
  <si>
    <t>PAYC</t>
  </si>
  <si>
    <t>PAYCOM SOFTWARE INC COM USD0.01</t>
  </si>
  <si>
    <t>PEP</t>
  </si>
  <si>
    <t>PEPSICO INC</t>
  </si>
  <si>
    <t>PINS</t>
  </si>
  <si>
    <t>PINTEREST INC CL A</t>
  </si>
  <si>
    <t>PLD</t>
  </si>
  <si>
    <t>PROLOGIS INC. COM</t>
  </si>
  <si>
    <t>PYPL</t>
  </si>
  <si>
    <t>PAYPAL HLDGS INC COM</t>
  </si>
  <si>
    <t>RBLX</t>
  </si>
  <si>
    <t>ROBLOX CORP CL A</t>
  </si>
  <si>
    <t>ROKU</t>
  </si>
  <si>
    <t>ROKU INC COM CL A</t>
  </si>
  <si>
    <t>RSP</t>
  </si>
  <si>
    <t>INVESCO EXCHANGE TRADED FD TR S&amp;P500 EQL WGT</t>
  </si>
  <si>
    <t>SBUX</t>
  </si>
  <si>
    <t>STARBUCKS CORP COM USD0.001</t>
  </si>
  <si>
    <t>SCHD</t>
  </si>
  <si>
    <t>SCHWAB US DIVIDEND EQUITY ETF</t>
  </si>
  <si>
    <t>SFIX</t>
  </si>
  <si>
    <t>STITCH FIX INC COM CL A</t>
  </si>
  <si>
    <t>SHOP</t>
  </si>
  <si>
    <t>SHOPIFY INC COM NPV CL A ISIN #CA82509L1076 SEDOL #BX865C7</t>
  </si>
  <si>
    <t>SHW</t>
  </si>
  <si>
    <t>SHERWIN-WILLIAMS CO</t>
  </si>
  <si>
    <t>SNOW</t>
  </si>
  <si>
    <t>SNOWFLAKE INC CL A</t>
  </si>
  <si>
    <t>SPOT</t>
  </si>
  <si>
    <t>SPOTIFY TECHNOLOGY S.A. COM EUR0.000625</t>
  </si>
  <si>
    <t>SSYS</t>
  </si>
  <si>
    <t>STRATASYS LTD</t>
  </si>
  <si>
    <t>SWIR</t>
  </si>
  <si>
    <t>SIERRA WIRELESS INC COM ISIN #CA8265161064 SEDOL #2418968</t>
  </si>
  <si>
    <t>TEAM</t>
  </si>
  <si>
    <t>ATLASSIAN CORPORATION PLC COM USD0.1 CL</t>
  </si>
  <si>
    <t>TLND</t>
  </si>
  <si>
    <t>TALEND SA SPON ADS EACH REP 1 ORD SHS</t>
  </si>
  <si>
    <t>TOST</t>
  </si>
  <si>
    <t>TOAST INC CL A</t>
  </si>
  <si>
    <t>TSLA</t>
  </si>
  <si>
    <t>TESLA INC COM</t>
  </si>
  <si>
    <t>TTD</t>
  </si>
  <si>
    <t>THE TRADE DESK INC COM CL A</t>
  </si>
  <si>
    <t>TTWO</t>
  </si>
  <si>
    <t>TAKE-TWO INTERACTIVE SOFTWARE INC</t>
  </si>
  <si>
    <t>TWLO</t>
  </si>
  <si>
    <t>TWILIO INC CL A</t>
  </si>
  <si>
    <t>U</t>
  </si>
  <si>
    <t>UNITY SOFTWARE INC COM</t>
  </si>
  <si>
    <t>UA</t>
  </si>
  <si>
    <t>UNDER ARMOUR INC CL C</t>
  </si>
  <si>
    <t>UAA</t>
  </si>
  <si>
    <t>UNDER ARMOUR INC COMSTK USD0.000333 CLASS A</t>
  </si>
  <si>
    <t>UPST</t>
  </si>
  <si>
    <t>UPSTART HLDGS INC COM</t>
  </si>
  <si>
    <t>VIG</t>
  </si>
  <si>
    <t>VANGUARD SPECIALIZED FUNDS DIV APP ETF</t>
  </si>
  <si>
    <t>VNQ</t>
  </si>
  <si>
    <t>VANGUARD REAL ESTATE ETF</t>
  </si>
  <si>
    <t>VOO</t>
  </si>
  <si>
    <t>VANGUARD INDEX FUNDS S&amp;P 500 ETF USD</t>
  </si>
  <si>
    <t>VTI</t>
  </si>
  <si>
    <t>VANGUARD INDEX FDS VANGUARD TOTAL STK MKT ETF</t>
  </si>
  <si>
    <t>WD</t>
  </si>
  <si>
    <t>WALKER &amp; DUNLOP INC COM</t>
  </si>
  <si>
    <t>WEX</t>
  </si>
  <si>
    <t>WEX INC</t>
  </si>
  <si>
    <t>WFM</t>
  </si>
  <si>
    <t>WHOLE FOODS MARKET INC COM STK NPV *CASH MERGER AT $42.00 PER SHARE*</t>
  </si>
  <si>
    <t>XYZ</t>
  </si>
  <si>
    <t>SQUARE INC CL A</t>
  </si>
  <si>
    <t>ZAYO</t>
  </si>
  <si>
    <t>ZAYO GROUP HOLDINGS INC COM USD0.001 *CASH MERGER AT $35.00*</t>
  </si>
  <si>
    <t>ZI</t>
  </si>
  <si>
    <t>ZOOMINFO TECHNOLOGIES INC COM CL A</t>
  </si>
  <si>
    <t>ZM</t>
  </si>
  <si>
    <t>ZOOM VIDEO COMMUNICATIONS INC CL A</t>
  </si>
  <si>
    <t>ZNGA</t>
  </si>
  <si>
    <t>ZYNGA INC</t>
  </si>
  <si>
    <t>ZS</t>
  </si>
  <si>
    <t>ZSCALER INC COM</t>
  </si>
  <si>
    <t>Date</t>
  </si>
  <si>
    <t>Organization</t>
  </si>
  <si>
    <t>Sector</t>
  </si>
  <si>
    <t>Amount</t>
  </si>
  <si>
    <t>St. Marys Parish</t>
  </si>
  <si>
    <t>Religious</t>
  </si>
  <si>
    <t>Habitat for Humanity</t>
  </si>
  <si>
    <t>Hunger</t>
  </si>
  <si>
    <t>Local Food Bank</t>
  </si>
  <si>
    <t>University Scholarship Fund</t>
  </si>
  <si>
    <t>American Red Cross</t>
  </si>
  <si>
    <t>Health</t>
  </si>
  <si>
    <t>Doctors Without Borders</t>
  </si>
  <si>
    <t>Childrens Hospital</t>
  </si>
  <si>
    <t>Wildlife Conservation Fund</t>
  </si>
  <si>
    <t>Animal Welfare</t>
  </si>
  <si>
    <t>Public Radio Pledge</t>
  </si>
  <si>
    <t>Arts</t>
  </si>
  <si>
    <t>Account Number</t>
  </si>
  <si>
    <t>Description</t>
  </si>
  <si>
    <t>Quantity</t>
  </si>
  <si>
    <t>Last Price</t>
  </si>
  <si>
    <t>Last Price Change</t>
  </si>
  <si>
    <t>Current Value</t>
  </si>
  <si>
    <t>Today's Gain/Loss Dollar</t>
  </si>
  <si>
    <t>Today's Gain/Loss Percent</t>
  </si>
  <si>
    <t>Total Gain/Loss Dollar</t>
  </si>
  <si>
    <t>Total Gain/Loss Percent</t>
  </si>
  <si>
    <t>Percent Of Account</t>
  </si>
  <si>
    <t>Cost Basis Total</t>
  </si>
  <si>
    <t>Average Cost Basis</t>
  </si>
  <si>
    <t>401k</t>
  </si>
  <si>
    <t>09256V574</t>
  </si>
  <si>
    <t>S&amp;P 500 STOCK INDEX</t>
  </si>
  <si>
    <t>Investment</t>
  </si>
  <si>
    <t>Transaction Type</t>
  </si>
  <si>
    <t>Shares/Unit</t>
  </si>
  <si>
    <t>FID STK SEL SM CAP</t>
  </si>
  <si>
    <t>Contributions</t>
  </si>
  <si>
    <t>FID OVERSEAS</t>
  </si>
  <si>
    <t>FID MAGELLAN</t>
  </si>
  <si>
    <t>FID GROWTH COMPANY</t>
  </si>
  <si>
    <t>FID ASSET MGR 70%</t>
  </si>
  <si>
    <t>FID OTC PORTFOLIO</t>
  </si>
  <si>
    <t>FID 500 INDEX INV</t>
  </si>
  <si>
    <t>FID PURITAN</t>
  </si>
  <si>
    <t>DEERE &amp; CO STK FUND</t>
  </si>
  <si>
    <t>FID 500 INDEX PR</t>
  </si>
  <si>
    <t>Exchange In</t>
  </si>
  <si>
    <t>Exchange Out</t>
  </si>
  <si>
    <t>FID FREEDOM 2040</t>
  </si>
  <si>
    <t>FID EQUITY INC</t>
  </si>
  <si>
    <t>FID DIVERSIFD INTL</t>
  </si>
  <si>
    <t>Change In Market Value</t>
  </si>
  <si>
    <t>INTM BOND CMGL POOL</t>
  </si>
  <si>
    <t>INST MONEY MARKET FD</t>
  </si>
  <si>
    <t>FID FREEDOM 2045</t>
  </si>
  <si>
    <t>FID FREEDOM K 2045</t>
  </si>
  <si>
    <t>FID FREEDOM K 2040</t>
  </si>
  <si>
    <t>BTC LIFEPATH 2045 Q</t>
  </si>
  <si>
    <t>BTC LIFEPATH 2040 Q</t>
  </si>
  <si>
    <t>RECORDKEEPING FEE</t>
  </si>
  <si>
    <t>BTC LIFEPATH 2045 L</t>
  </si>
  <si>
    <t>BTC LIFEPATH 2040 L</t>
  </si>
  <si>
    <t>BTC LP IDX 2045 N</t>
  </si>
  <si>
    <t>BTC LP IDX 2040 N</t>
  </si>
  <si>
    <t>FID GR CO POOL CL O</t>
  </si>
  <si>
    <t>AS EM MKTS EQ CIT E2</t>
  </si>
  <si>
    <t>BTC SHRT-TERM INVT W</t>
  </si>
  <si>
    <t>BTC EMERGING MKTS M</t>
  </si>
  <si>
    <t>FID GR CO POOL CL S</t>
  </si>
  <si>
    <t>SMALL/MID STOCK INDX</t>
  </si>
  <si>
    <t>INT'L STOCK INDEX</t>
  </si>
  <si>
    <t>US EQUITY</t>
  </si>
  <si>
    <t>BTC LIFEPATH 2035 G</t>
  </si>
  <si>
    <t>US TIPS BOND INDEX</t>
  </si>
  <si>
    <t>REAL ESTATE INDEX</t>
  </si>
  <si>
    <t>XX1111</t>
  </si>
  <si>
    <t>401K</t>
  </si>
  <si>
    <t>Ticker</t>
  </si>
  <si>
    <t>Proxy</t>
  </si>
  <si>
    <t>Fallback</t>
  </si>
  <si>
    <t>Notes</t>
  </si>
  <si>
    <t>FMAGX</t>
  </si>
  <si>
    <t>no</t>
  </si>
  <si>
    <t>Real ticker</t>
  </si>
  <si>
    <t>FDGRX</t>
  </si>
  <si>
    <t>FOSFX</t>
  </si>
  <si>
    <t>FDIVX</t>
  </si>
  <si>
    <t>FEQIX</t>
  </si>
  <si>
    <t>FPURX</t>
  </si>
  <si>
    <t>FOCPX</t>
  </si>
  <si>
    <t>FASGX</t>
  </si>
  <si>
    <t>FDSCX</t>
  </si>
  <si>
    <t>Stock Selector Small Cap</t>
  </si>
  <si>
    <t>FXAIX</t>
  </si>
  <si>
    <t>Investor share class merged into FXAIX</t>
  </si>
  <si>
    <t>Premium share class -&gt; FXAIX</t>
  </si>
  <si>
    <t>FFFFX</t>
  </si>
  <si>
    <t>FFFGX</t>
  </si>
  <si>
    <t>FFKEX</t>
  </si>
  <si>
    <t>Yahoo K-share coverage spotty; fallback to non-K</t>
  </si>
  <si>
    <t>FFKGX</t>
  </si>
  <si>
    <t>yes</t>
  </si>
  <si>
    <t>CIT proxy: Fidelity Growth Company</t>
  </si>
  <si>
    <t>VTTHX</t>
  </si>
  <si>
    <t>CIT proxy: Vanguard Target Retirement 2035</t>
  </si>
  <si>
    <t>VFORX</t>
  </si>
  <si>
    <t>CIT proxy: Vanguard Target Retirement 2040</t>
  </si>
  <si>
    <t>VTIVX</t>
  </si>
  <si>
    <t>CIT proxy: Vanguard Target Retirement 2045</t>
  </si>
  <si>
    <t>LifePath Index variant -&gt; VG TR 2040</t>
  </si>
  <si>
    <t>LifePath Index variant -&gt; VG TR 2045</t>
  </si>
  <si>
    <t>VEMAX</t>
  </si>
  <si>
    <t>CIT proxy: Vanguard Emerging Markets</t>
  </si>
  <si>
    <t>AB Emerging Markets CIT -&gt; VG proxy</t>
  </si>
  <si>
    <t>VMFXX</t>
  </si>
  <si>
    <t>Stable-value/MMF; chart only when held</t>
  </si>
  <si>
    <t>Generic plan money market; chart only when held</t>
  </si>
  <si>
    <t>VBTLX</t>
  </si>
  <si>
    <t>Intermediate bond commingled pool proxy</t>
  </si>
  <si>
    <t>VTSAX</t>
  </si>
  <si>
    <t>Generic label proxy: VG Total Stock Market</t>
  </si>
  <si>
    <t>VFIAX</t>
  </si>
  <si>
    <t>Generic label proxy: VG 500 Index</t>
  </si>
  <si>
    <t>VTIAX</t>
  </si>
  <si>
    <t>Generic label proxy: VG Total International</t>
  </si>
  <si>
    <t>VEXAX</t>
  </si>
  <si>
    <t>Generic label proxy: VG Extended Market</t>
  </si>
  <si>
    <t>VGSLX</t>
  </si>
  <si>
    <t>Generic label proxy: VG Real Estate Index</t>
  </si>
  <si>
    <t>VAIPX</t>
  </si>
  <si>
    <t>Generic label proxy: VG Inflation-Protected</t>
  </si>
  <si>
    <t>Unitized employer stock; NAV diverges from DE due to cash buffer</t>
  </si>
  <si>
    <t>BrokerageLink</t>
  </si>
  <si>
    <t>FDRXX**</t>
  </si>
  <si>
    <t>HELD IN MONEY MARKET</t>
  </si>
  <si>
    <t>FBNDX</t>
  </si>
  <si>
    <t>FIDELITY INVESTMENT GRADE</t>
  </si>
  <si>
    <t>FCPGX</t>
  </si>
  <si>
    <t>FIDELITY SMALL CAP GROWTH</t>
  </si>
  <si>
    <t>FEMKX</t>
  </si>
  <si>
    <t>FIDELITY EMERGING MARKETS</t>
  </si>
  <si>
    <t>FSSMX</t>
  </si>
  <si>
    <t>FIDELITY STOCK SELECTOR MID CAP FD</t>
  </si>
  <si>
    <t>FTIEX</t>
  </si>
  <si>
    <t>FIDELITY TOTAL INT'L EQUITY FUND</t>
  </si>
  <si>
    <t>JAGTX</t>
  </si>
  <si>
    <t>JANUS HENDERSON GLOB TECH &amp; INNOV T</t>
  </si>
  <si>
    <t>VDADX</t>
  </si>
  <si>
    <t>VANGUARD DIV APPREC INDEX FD ADMIRAL SHS</t>
  </si>
  <si>
    <t>VANGUARD REAL ESTATE INDEX ADMIRAL</t>
  </si>
  <si>
    <t>Last Updated 5/3/2026</t>
  </si>
  <si>
    <t>Run Date</t>
  </si>
  <si>
    <t>Action</t>
  </si>
  <si>
    <t>Type</t>
  </si>
  <si>
    <t>Price ($)</t>
  </si>
  <si>
    <t>Commission ($)</t>
  </si>
  <si>
    <t>Fees ($)</t>
  </si>
  <si>
    <t>Accrued Interest ($)</t>
  </si>
  <si>
    <t>Amount ($)</t>
  </si>
  <si>
    <t>Cash Balance ($)</t>
  </si>
  <si>
    <t>Settlement Date</t>
  </si>
  <si>
    <t>REINVESTMENT FIDELITY GOVERNMENT CASH RESERVES (FDRXX) (Cash)</t>
  </si>
  <si>
    <t>FDRXX</t>
  </si>
  <si>
    <t>FIDELITY GOVERNMENT CASH RESERVES</t>
  </si>
  <si>
    <t>Cash</t>
  </si>
  <si>
    <t>DIVIDEND RECEIVED FIDELITY GOVERNMENT CASH RESERVES (FDRXX) (Cash)</t>
  </si>
  <si>
    <t>TRANSFERRED FROM TO BROKERAGE OPTION (Cash)</t>
  </si>
  <si>
    <t>No Description</t>
  </si>
  <si>
    <t>REINVESTMENT BLACKROCK TECHNOLOGY OPPORTUNITIES CL A (BGSAX) (Cash)</t>
  </si>
  <si>
    <t>BGSAX</t>
  </si>
  <si>
    <t>BLACKROCK TECHNOLOGY OPPORTUNITIES CL A</t>
  </si>
  <si>
    <t>LONG-TERM CAP GAIN BLACKROCK TECHNOLOGY OPPORTUNITIES CL A (BGSAX) (Cash)</t>
  </si>
  <si>
    <t>REINVESTMENT FIDELITY INVESTMENT GRADE (FBNDX) (Cash)</t>
  </si>
  <si>
    <t>DIVIDEND RECEIVED FIDELITY INVESTMENT GRADE (FBNDX) (Cash)</t>
  </si>
  <si>
    <t>REINVESTMENT FIDELITY EMERGING MARKETS (FEMKX) (Cash)</t>
  </si>
  <si>
    <t>DIVIDEND RECEIVED FIDELITY EMERGING MARKETS (FEMKX) (Cash)</t>
  </si>
  <si>
    <t>VTMGX</t>
  </si>
  <si>
    <t>VANGUARD DEVELOPED MRKTS INDEX ADMIRAL</t>
  </si>
  <si>
    <t xml:space="preserve"> </t>
  </si>
  <si>
    <t>YOU BOUGHT PROSPECTUS UNDER SEPARATE COVER JANUS HENDERSON GLOB TECH &amp; INNOV T (JAGTX) (Cash)</t>
  </si>
  <si>
    <t>YOU BOUGHT PROSPECTUS UNDER SEPARATE COVER FIDELITY EMERGING MARKETS (FEMKX) (Cash)</t>
  </si>
  <si>
    <t>YOU BOUGHT PROSPECTUS UNDER SEPARATE COVER FIDELITY INVESTMENT GRADE (FBNDX) (Cash)</t>
  </si>
  <si>
    <t>MACGX</t>
  </si>
  <si>
    <t>MORGAN STANLEY DISCOVERY PORT CL A</t>
  </si>
  <si>
    <t>BMGAX</t>
  </si>
  <si>
    <t>BLACKROCK MID CAP GROWTH EQUITY CL A</t>
  </si>
  <si>
    <t>REINVESTMENT as of Dec-20-2023 VANGUARD REAL ESTATE INDEX ADMIRAL (VGSLX) (Cash)</t>
  </si>
  <si>
    <t>DIVIDEND RECEIVED as of Dec-20-2023 VANGUARD REAL ESTATE INDEX ADMIRAL (VGSLX) (Cash)</t>
  </si>
  <si>
    <t>REINVESTMENT as of Dec-15-2023 VANGUARD DEVELOPED MRKTS INDEX ADMIRAL (VTMGX) (Cash)</t>
  </si>
  <si>
    <t>DIVIDEND RECEIVED as of Dec-15-2023 VANGUARD DEVELOPED MRKTS INDEX ADMIRAL (VTMGX) (Cash)</t>
  </si>
  <si>
    <t>REINVESTMENT as of Dec-07-2023 JANUS HENDERSON GLOB TECH &amp; INNOV T (JAGTX) (Cash)</t>
  </si>
  <si>
    <t>LONG-TERM CAP GAIN as of Dec-07-2023 JANUS HENDERSON GLOB TECH &amp; INNOV T (JAGTX) (Cash)</t>
  </si>
  <si>
    <t>YOU BOUGHT PROSPECTUS UNDER SEPARATE COVER CONF:021396437 BLACKROCK TECHNOLOGY OPPORTUNITIES CL A (BGSAX) (Cash)</t>
  </si>
  <si>
    <t>REINVESTMENT as of Sep-27-2023 VANGUARD REAL ESTATE INDEX ADMIRAL (VGSLX) (Cash)</t>
  </si>
  <si>
    <t>DIVIDEND RECEIVED as of Sep-27-2023 VANGUARD REAL ESTATE INDEX ADMIRAL (VGSLX) (Cash)</t>
  </si>
  <si>
    <t>REINVESTMENT as of Sep-15-2023 VANGUARD DEVELOPED MRKTS INDEX ADMIRAL (VTMGX) (Cash)</t>
  </si>
  <si>
    <t>DIVIDEND RECEIVED as of Sep-15-2023 VANGUARD DEVELOPED MRKTS INDEX ADMIRAL (VTMGX) (Cash)</t>
  </si>
  <si>
    <t>YOU BOUGHT PROSPECTUS UNDER SEPARATE COVER CONF:036013651 MORGAN STANLEY DISCOVERY PORT CL A (MACGX) (Cash)</t>
  </si>
  <si>
    <t>REINVESTMENT as of Jun-28-2023 VANGUARD REAL ESTATE INDEX ADMIRAL (VGSLX) (Cash)</t>
  </si>
  <si>
    <t>DIVIDEND RECEIVED as of Jun-28-2023 VANGUARD REAL ESTATE INDEX ADMIRAL (VGSLX) (Cash)</t>
  </si>
  <si>
    <t>REINVESTMENT as of Jun-16-2023 VANGUARD DEVELOPED MRKTS INDEX ADMIRAL (VTMGX) (Cash)</t>
  </si>
  <si>
    <t>DIVIDEND RECEIVED as of Jun-16-2023 VANGUARD DEVELOPED MRKTS INDEX ADMIRAL (VTMGX) (Cash)</t>
  </si>
  <si>
    <t>YOU BOUGHT PROSPECTUS UNDER SEPARATE COVER CONF:036011107 MORGAN STANLEY DISCOVERY PORT CL A (MACGX) (Cash)</t>
  </si>
  <si>
    <t>REINVESTMENT as of Mar-23-2023 VANGUARD REAL ESTATE INDEX ADMIRAL (VGSLX) (Cash)</t>
  </si>
  <si>
    <t>DIVIDEND RECEIVED as of Mar-23-2023 VANGUARD REAL ESTATE INDEX ADMIRAL (VGSLX) (Cash)</t>
  </si>
  <si>
    <t>REINVESTMENT as of Mar-17-2023 VANGUARD DEVELOPED MRKTS INDEX ADMIRAL (VTMGX) (Cash)</t>
  </si>
  <si>
    <t>DIVIDEND RECEIVED as of Mar-17-2023 VANGUARD DEVELOPED MRKTS INDEX ADMIRAL (VTMGX) (Cash)</t>
  </si>
  <si>
    <t>REINVESTMENT as of Dec-23-2024 VANGUARD REAL ESTATE INDEX ADMIRAL (VGSLX) (Cash)</t>
  </si>
  <si>
    <t>DIVIDEND RECEIVED as of Dec-23-2024 VANGUARD REAL ESTATE INDEX ADMIRAL (VGSLX) (Cash)</t>
  </si>
  <si>
    <t>REINVESTMENT as of Dec-20-2024 VANGUARD DEVELOPED MRKTS INDEX ADMIRAL (VTMGX) (Cash)</t>
  </si>
  <si>
    <t>DIVIDEND RECEIVED as of Dec-20-2024 VANGUARD DEVELOPED MRKTS INDEX ADMIRAL (VTMGX) (Cash)</t>
  </si>
  <si>
    <t>REINVESTMENT FIDELITY SMALL CAP GROWTH (FCPGX) (Cash)</t>
  </si>
  <si>
    <t>DIVIDEND RECEIVED FIDELITY SMALL CAP GROWTH (FCPGX) (Cash)</t>
  </si>
  <si>
    <t>REINVESTMENT as of Dec-06-2024 JANUS HENDERSON GLOB TECH &amp; INNOV T (JAGTX) (Cash)</t>
  </si>
  <si>
    <t>SHORT-TERM CAP GAIN as of Dec-06-2024 JANUS HENDERSON GLOB TECH &amp; INNOV T (JAGTX) (Cash)</t>
  </si>
  <si>
    <t>LONG-TERM CAP GAIN as of Dec-06-2024 JANUS HENDERSON GLOB TECH &amp; INNOV T (JAGTX) (Cash)</t>
  </si>
  <si>
    <t>REINVESTMENT as of Sep-27-2024 VANGUARD REAL ESTATE INDEX ADMIRAL (VGSLX) (Cash)</t>
  </si>
  <si>
    <t>DIVIDEND RECEIVED as of Sep-27-2024 VANGUARD REAL ESTATE INDEX ADMIRAL (VGSLX) (Cash)</t>
  </si>
  <si>
    <t>REINVESTMENT as of Sep-20-2024 VANGUARD DEVELOPED MRKTS INDEX ADMIRAL (VTMGX) (Cash)</t>
  </si>
  <si>
    <t>DIVIDEND RECEIVED as of Sep-20-2024 VANGUARD DEVELOPED MRKTS INDEX ADMIRAL (VTMGX) (Cash)</t>
  </si>
  <si>
    <t>LONG-TERM CAP GAIN FIDELITY SMALL CAP GROWTH (FCPGX) (Cash)</t>
  </si>
  <si>
    <t>REINVESTMENT as of Jun-28-2024 VANGUARD REAL ESTATE INDEX ADMIRAL (VGSLX) (Cash)</t>
  </si>
  <si>
    <t>DIVIDEND RECEIVED as of Jun-28-2024 VANGUARD REAL ESTATE INDEX ADMIRAL (VGSLX) (Cash)</t>
  </si>
  <si>
    <t>REINVESTMENT as of Jun-21-2024 VANGUARD DEVELOPED MRKTS INDEX ADMIRAL (VTMGX) (Cash)</t>
  </si>
  <si>
    <t>DIVIDEND RECEIVED as of Jun-21-2024 VANGUARD DEVELOPED MRKTS INDEX ADMIRAL (VTMGX) (Cash)</t>
  </si>
  <si>
    <t>YOU BOUGHT PROSPECTUS UNDER SEPARATE COVER CONF:021411379 BLACKROCK TECHNOLOGY OPPORTUNITIES CL A (BGSAX) (Cash)</t>
  </si>
  <si>
    <t>YOU BOUGHT PROSPECTUS UNDER SEPARATE COVER CONF:021409303 BLACKROCK TECHNOLOGY OPPORTUNITIES CL A (BGSAX) (Cash)</t>
  </si>
  <si>
    <t>YOU BOUGHT PROSPECTUS UNDER SEPARATE COVER CONF:021406693 BLACKROCK TECHNOLOGY OPPORTUNITIES CL A (BGSAX) (Cash)</t>
  </si>
  <si>
    <t>REINVESTMENT as of Mar-22-2024 VANGUARD REAL ESTATE INDEX ADMIRAL (VGSLX) (Cash)</t>
  </si>
  <si>
    <t>DIVIDEND RECEIVED as of Mar-22-2024 VANGUARD REAL ESTATE INDEX ADMIRAL (VGSLX) (Cash)</t>
  </si>
  <si>
    <t>REINVESTMENT as of Mar-15-2024 VANGUARD DEVELOPED MRKTS INDEX ADMIRAL (VTMGX) (Cash)</t>
  </si>
  <si>
    <t>DIVIDEND RECEIVED as of Mar-15-2024 VANGUARD DEVELOPED MRKTS INDEX ADMIRAL (VTMGX) (Cash)</t>
  </si>
  <si>
    <t>YOU BOUGHT PROSPECTUS UNDER SEPARATE COVER CONF:021399042 BLACKROCK TECHNOLOGY OPPORTUNITIES CL A (BGSAX) (Cash)</t>
  </si>
  <si>
    <t>REINVESTMENT FIDELITY TOTAL INT'L EQUITY FUND (FTIEX) (Cash)</t>
  </si>
  <si>
    <t>DIVIDEND RECEIVED FIDELITY TOTAL INT'L EQUITY FUND (FTIEX) (Cash)</t>
  </si>
  <si>
    <t>REINVESTMENT FIDELITY STOCK SELECTOR MID CAP FD (FSSMX) (Cash)</t>
  </si>
  <si>
    <t>DIVIDEND RECEIVED FIDELITY STOCK SELECTOR MID CAP FD (FSSMX) (Cash)</t>
  </si>
  <si>
    <t>LONG-TERM CAP GAIN FIDELITY STOCK SELECTOR MID CAP FD (FSSMX) (Cash)</t>
  </si>
  <si>
    <t>REINVESTMENT as of Dec-22-2025 VANGUARD REAL ESTATE INDEX ADMIRAL (VGSLX) (Cash)</t>
  </si>
  <si>
    <t>DIVIDEND RECEIVED as of Dec-22-2025 VANGUARD REAL ESTATE INDEX ADMIRAL (VGSLX) (Cash)</t>
  </si>
  <si>
    <t>REINVESTMENT as of Dec-22-2025 VANGUARD DIV APPREC INDEX FD ADMIRAL SHS (VDADX) (Cash)</t>
  </si>
  <si>
    <t>DIVIDEND RECEIVED as of Dec-22-2025 VANGUARD DIV APPREC INDEX FD ADMIRAL SHS (VDADX) (Cash)</t>
  </si>
  <si>
    <t>LONG-TERM CAP GAIN FIDELITY TOTAL INT'L EQUITY FUND (FTIEX) (Cash)</t>
  </si>
  <si>
    <t>REINVESTMENT as of Dec-05-2025 JANUS HENDERSON GLOB TECH &amp; INNOV T (JAGTX) (Cash)</t>
  </si>
  <si>
    <t>SHORT-TERM CAP GAIN as of Dec-05-2025 JANUS HENDERSON GLOB TECH &amp; INNOV T (JAGTX) (Cash)</t>
  </si>
  <si>
    <t>LONG-TERM CAP GAIN as of Dec-05-2025 JANUS HENDERSON GLOB TECH &amp; INNOV T (JAGTX) (Cash)</t>
  </si>
  <si>
    <t>YOU BOUGHT PROSPECTUS UNDER SEPARATE COVER VANGUARD DIV APPREC INDEX FD ADMIRAL SHS (VDADX) (Cash)</t>
  </si>
  <si>
    <t>YOU SOLD FIDELITY SMALL CAP GROWTH (FCPGX) (Cash)</t>
  </si>
  <si>
    <t>YOU SOLD FIDELITY STOCK SELECTOR MID CAP FD (FSSMX) (Cash)</t>
  </si>
  <si>
    <t>YOU BOUGHT PROSPECTUS UNDER SEPARATE COVER FIDELITY TOTAL INT'L EQUITY FUND (FTIEX) (Cash)</t>
  </si>
  <si>
    <t>YOU BOUGHT PROSPECTUS UNDER SEPARATE COVER FIDELITY STOCK SELECTOR MID CAP FD (FSSMX) (Cash)</t>
  </si>
  <si>
    <t>YOU SOLD VANGUARD DEVELOPED MRKTS INDEX ADMIRAL (VTMGX) (Cash)</t>
  </si>
  <si>
    <t>YOU SOLD CONF:000136304 MORGAN STANLEY DISCOVERY PORT CL A (MACGX) (Cash)</t>
  </si>
  <si>
    <t>YOU SOLD JANUS HENDERSON GLOB TECH &amp; INNOV T (JAGTX) (Cash)</t>
  </si>
  <si>
    <t>YOU SOLD FIDELITY STOCK SELECTOR SMALL CAP (FDSCX) (Cash)</t>
  </si>
  <si>
    <t>FIDELITY STOCK SELECTOR SMALL CAP</t>
  </si>
  <si>
    <t>YOU SOLD CONF:021445711 BLACKROCK TECHNOLOGY OPPORTUNITIES CL A (BGSAX) (Cash)</t>
  </si>
  <si>
    <t>YOU SOLD CONF:021299019 BLACKROCK MID CAP GROWTH EQUITY CL A (BMGAX) (Cash)</t>
  </si>
  <si>
    <t>REINVESTMENT as of Sep-24-2025 VANGUARD REAL ESTATE INDEX ADMIRAL (VGSLX) (Cash)</t>
  </si>
  <si>
    <t>DIVIDEND RECEIVED as of Sep-24-2025 VANGUARD REAL ESTATE INDEX ADMIRAL (VGSLX) (Cash)</t>
  </si>
  <si>
    <t>REINVESTMENT as of Sep-19-2025 VANGUARD DEVELOPED MRKTS INDEX ADMIRAL (VTMGX) (Cash)</t>
  </si>
  <si>
    <t>DIVIDEND RECEIVED as of Sep-19-2025 VANGUARD DEVELOPED MRKTS INDEX ADMIRAL (VTMGX) (Cash)</t>
  </si>
  <si>
    <t>REINVESTMENT BLACKROCK MID CAP GROWTH EQUITY CL A (BMGAX) (Cash)</t>
  </si>
  <si>
    <t>LONG-TERM CAP GAIN BLACKROCK MID CAP GROWTH EQUITY CL A (BMGAX) (Cash)</t>
  </si>
  <si>
    <t>REINVESTMENT as of Jun-26-2025 VANGUARD REAL ESTATE INDEX ADMIRAL (VGSLX) (Cash)</t>
  </si>
  <si>
    <t>DIVIDEND RECEIVED as of Jun-26-2025 VANGUARD REAL ESTATE INDEX ADMIRAL (VGSLX) (Cash)</t>
  </si>
  <si>
    <t>REINVESTMENT as of Jun-20-2025 VANGUARD DEVELOPED MRKTS INDEX ADMIRAL (VTMGX) (Cash)</t>
  </si>
  <si>
    <t>DIVIDEND RECEIVED as of Jun-20-2025 VANGUARD DEVELOPED MRKTS INDEX ADMIRAL (VTMGX) (Cash)</t>
  </si>
  <si>
    <t>REINVESTMENT as of Mar-25-2025 VANGUARD REAL ESTATE INDEX ADMIRAL (VGSLX) (Cash)</t>
  </si>
  <si>
    <t>DIVIDEND RECEIVED as of Mar-25-2025 VANGUARD REAL ESTATE INDEX ADMIRAL (VGSLX) (Cash)</t>
  </si>
  <si>
    <t>REINVESTMENT as of Mar-21-2025 VANGUARD DEVELOPED MRKTS INDEX ADMIRAL (VTMGX) (Cash)</t>
  </si>
  <si>
    <t>DIVIDEND RECEIVED as of Mar-21-2025 VANGUARD DEVELOPED MRKTS INDEX ADMIRAL (VTMGX) (Cash)</t>
  </si>
  <si>
    <t>YOU BOUGHT PROSPECTUS UNDER SEPARATE COVER FIDELITY STOCK SELECTOR SMALL CAP (FDSCX) (Cash)</t>
  </si>
  <si>
    <t>REINVESTMENT as of Mar-27-2026 VANGUARD DIV APPREC INDEX FD ADMIRAL SHS (VDADX) (Cash)</t>
  </si>
  <si>
    <t>DIVIDEND RECEIVED as of Mar-27-2026 VANGUARD DIV APPREC INDEX FD ADMIRAL SHS (VDADX) (Cash)</t>
  </si>
  <si>
    <t>REINVESTMENT as of Mar-24-2026 VANGUARD REAL ESTATE INDEX ADMIRAL (VGSLX) (Cash)</t>
  </si>
  <si>
    <t>DIVIDEND RECEIVED as of Mar-24-2026 VANGUARD REAL ESTATE INDEX ADMIRAL (VGSLX) (Cash)</t>
  </si>
  <si>
    <t>YY987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</si>
</sst>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  <numFmt numFmtId="166" formatCode="\$#,##0.00"/>
    <numFmt numFmtId="167" formatCode="\(\$#,##0.00\);\(\$#,##0.00\)"/>
    <numFmt numFmtId="168" formatCode="m/d/yy;@"/>
    <numFmt numFmtId="169" formatCode="&quot;$&quot;#,##0.00"/>
    <numFmt numFmtId="170" formatCode="yyyy\-mm\-dd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theme="3" tint="0.24994659260841701"/>
      <name val="Calibri"/>
      <family val="2"/>
      <scheme val="minor"/>
    </font>
    <font>
      <i/>
      <sz val="10"/>
      <color theme="3" tint="0.24994659260841701"/>
      <name val="Calibri"/>
      <family val="1"/>
      <scheme val="minor"/>
    </font>
    <font>
      <sz val="10"/>
      <color theme="3" tint="0.24994659260841701"/>
      <name val="Calibri"/>
      <family val="1"/>
      <scheme val="minor"/>
    </font>
    <font>
      <b/>
      <i/>
      <sz val="10"/>
      <color theme="3" tint="0.24994659260841701"/>
      <name val="Calibri"/>
      <family val="1"/>
      <scheme val="minor"/>
    </font>
    <font>
      <b/>
      <sz val="10"/>
      <color theme="3" tint="0.24994659260841701"/>
      <name val="Calibri"/>
      <family val="1"/>
      <scheme val="minor"/>
    </font>
    <font>
      <sz val="10"/>
      <color rgb="FF60605E"/>
      <name val="Century Gothic"/>
      <family val="2"/>
    </font>
    <font>
      <b/>
      <sz val="10"/>
      <color rgb="FF60605E"/>
      <name val="Century Gothic"/>
      <family val="1"/>
    </font>
    <font>
      <sz val="10"/>
      <color rgb="FF60605E"/>
      <name val="Century Gothic"/>
      <family val="1"/>
    </font>
    <font>
      <b/>
      <sz val="10"/>
      <color rgb="FF000000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/>
      <top/>
      <bottom style="thin">
        <color rgb="FFC4D79B"/>
      </bottom>
      <diagonal/>
    </border>
    <border>
      <left/>
      <right/>
      <top style="thin">
        <color rgb="FFC4D79B"/>
      </top>
      <bottom style="thin">
        <color rgb="FFC4D79B"/>
      </bottom>
      <diagonal/>
    </border>
    <border>
      <left/>
      <right/>
      <top style="thin">
        <color rgb="FFC4D79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6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4" xfId="0" applyFont="1" applyBorder="1"/>
    <xf numFmtId="0" fontId="6" fillId="0" borderId="0" xfId="0" applyFont="1"/>
    <xf numFmtId="0" fontId="7" fillId="0" borderId="0" xfId="0" applyFont="1"/>
    <xf numFmtId="14" fontId="6" fillId="0" borderId="0" xfId="0" applyNumberFormat="1" applyFont="1"/>
    <xf numFmtId="164" fontId="6" fillId="0" borderId="0" xfId="0" applyNumberFormat="1" applyFont="1"/>
    <xf numFmtId="164" fontId="8" fillId="0" borderId="0" xfId="0" applyNumberFormat="1" applyFont="1"/>
    <xf numFmtId="0" fontId="9" fillId="0" borderId="0" xfId="0" applyFont="1" applyAlignment="1">
      <alignment horizontal="left" indent="1"/>
    </xf>
    <xf numFmtId="164" fontId="9" fillId="0" borderId="0" xfId="0" applyNumberFormat="1" applyFont="1" applyAlignment="1">
      <alignment horizontal="left" indent="1"/>
    </xf>
    <xf numFmtId="0" fontId="10" fillId="0" borderId="0" xfId="0" applyFont="1"/>
    <xf numFmtId="164" fontId="10" fillId="0" borderId="0" xfId="0" applyNumberFormat="1" applyFont="1"/>
    <xf numFmtId="9" fontId="0" fillId="0" borderId="0" xfId="0" applyNumberFormat="1"/>
    <xf numFmtId="44" fontId="3" fillId="0" borderId="0" xfId="0" applyNumberFormat="1" applyFont="1"/>
    <xf numFmtId="165" fontId="3" fillId="0" borderId="0" xfId="0" applyNumberFormat="1" applyFont="1"/>
    <xf numFmtId="166" fontId="0" fillId="0" borderId="0" xfId="0" applyNumberFormat="1"/>
    <xf numFmtId="14" fontId="0" fillId="0" borderId="0" xfId="0" applyNumberFormat="1"/>
    <xf numFmtId="167" fontId="0" fillId="0" borderId="0" xfId="0" applyNumberFormat="1"/>
    <xf numFmtId="0" fontId="11" fillId="0" borderId="0" xfId="0" applyFont="1"/>
    <xf numFmtId="0" fontId="12" fillId="0" borderId="0" xfId="0" applyFont="1"/>
    <xf numFmtId="14" fontId="12" fillId="0" borderId="0" xfId="0" applyNumberFormat="1" applyFont="1"/>
    <xf numFmtId="164" fontId="11" fillId="0" borderId="0" xfId="0" applyNumberFormat="1" applyFont="1"/>
    <xf numFmtId="14" fontId="11" fillId="0" borderId="0" xfId="0" applyNumberFormat="1" applyFont="1"/>
    <xf numFmtId="164" fontId="13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14" fontId="5" fillId="0" borderId="3" xfId="0" applyNumberFormat="1" applyFont="1" applyBorder="1"/>
    <xf numFmtId="8" fontId="0" fillId="0" borderId="0" xfId="0" applyNumberFormat="1"/>
    <xf numFmtId="168" fontId="5" fillId="0" borderId="0" xfId="0" applyNumberFormat="1" applyFont="1"/>
    <xf numFmtId="8" fontId="5" fillId="0" borderId="0" xfId="0" applyNumberFormat="1" applyFont="1"/>
    <xf numFmtId="14" fontId="5" fillId="0" borderId="0" xfId="0" applyNumberFormat="1" applyFont="1"/>
    <xf numFmtId="14" fontId="5" fillId="0" borderId="3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/>
    <xf numFmtId="0" fontId="0" fillId="0" borderId="0" xfId="0" applyAlignment="1">
      <alignment wrapText="1"/>
    </xf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8" fontId="16" fillId="0" borderId="0" xfId="0" applyNumberFormat="1" applyFont="1"/>
    <xf numFmtId="44" fontId="16" fillId="0" borderId="0" xfId="0" applyNumberFormat="1" applyFont="1"/>
    <xf numFmtId="14" fontId="16" fillId="0" borderId="0" xfId="0" applyNumberFormat="1" applyFont="1" applyAlignment="1">
      <alignment wrapText="1"/>
    </xf>
    <xf numFmtId="0" fontId="4" fillId="0" borderId="5" xfId="0" applyFont="1" applyBorder="1" applyAlignment="1">
      <alignment wrapText="1"/>
    </xf>
    <xf numFmtId="0" fontId="5" fillId="0" borderId="6" xfId="0" applyFont="1" applyBorder="1"/>
    <xf numFmtId="0" fontId="0" fillId="0" borderId="6" xfId="0" applyBorder="1"/>
    <xf numFmtId="0" fontId="5" fillId="0" borderId="6" xfId="0" applyFont="1" applyBorder="1" applyAlignment="1">
      <alignment horizontal="left" vertical="center"/>
    </xf>
    <xf numFmtId="0" fontId="5" fillId="0" borderId="7" xfId="0" applyFont="1" applyBorder="1"/>
    <xf numFmtId="169" fontId="0" fillId="0" borderId="0" xfId="0" applyNumberFormat="1"/>
    <xf numFmtId="0" fontId="17" fillId="0" borderId="0" xfId="0" applyFont="1"/>
    <xf numFmtId="169" fontId="17" fillId="0" borderId="0" xfId="0" applyNumberFormat="1" applyFont="1"/>
    <xf numFmtId="170" fontId="0" fillId="0" borderId="0" xfId="0" applyNumberFormat="1"/>
    <xf numFmtId="0" fontId="18" fillId="2" borderId="8" xfId="1" applyFont="1" applyFill="1" applyBorder="1"/>
    <xf numFmtId="0" fontId="2" fillId="0" borderId="0" xfId="1"/>
    <xf numFmtId="0" fontId="2" fillId="0" borderId="8" xfId="1" applyBorder="1"/>
    <xf numFmtId="8" fontId="2" fillId="0" borderId="8" xfId="1" applyNumberFormat="1" applyBorder="1"/>
    <xf numFmtId="10" fontId="2" fillId="0" borderId="8" xfId="1" applyNumberFormat="1" applyBorder="1"/>
    <xf numFmtId="0" fontId="4" fillId="0" borderId="0" xfId="1" applyFont="1"/>
    <xf numFmtId="0" fontId="5" fillId="0" borderId="0" xfId="1" applyFont="1"/>
    <xf numFmtId="8" fontId="5" fillId="0" borderId="0" xfId="1" applyNumberFormat="1" applyFont="1"/>
    <xf numFmtId="10" fontId="5" fillId="0" borderId="0" xfId="1" applyNumberFormat="1" applyFont="1"/>
    <xf numFmtId="14" fontId="2" fillId="0" borderId="0" xfId="1" applyNumberFormat="1"/>
    <xf numFmtId="4" fontId="2" fillId="0" borderId="0" xfId="1" applyNumberForma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1" applyFont="1"/>
    <xf numFmtId="0" fontId="1" fillId="0" borderId="8" xfId="1" applyFont="1" applyBorder="1"/>
    <xf numFmtId="0" fontId="18" fillId="2" borderId="8" xfId="2" applyFont="1" applyFill="1" applyBorder="1"/>
    <xf numFmtId="0" fontId="1" fillId="0" borderId="0" xfId="2"/>
    <xf numFmtId="0" fontId="1" fillId="0" borderId="8" xfId="2" applyBorder="1"/>
    <xf numFmtId="8" fontId="1" fillId="0" borderId="8" xfId="2" applyNumberFormat="1" applyBorder="1"/>
    <xf numFmtId="10" fontId="1" fillId="0" borderId="8" xfId="2" applyNumberFormat="1" applyBorder="1"/>
    <xf numFmtId="14" fontId="1" fillId="0" borderId="0" xfId="2" applyNumberFormat="1"/>
    <xf numFmtId="0" fontId="5" fillId="0" borderId="0" xfId="0" applyFont="1" applyBorder="1"/>
    <xf numFmtId="0" fontId="1" fillId="0" borderId="0" xfId="0" applyFont="1" applyBorder="1"/>
  </cellXfs>
  <cellStyles count="3">
    <cellStyle name="Normal" xfId="0" builtinId="0"/>
    <cellStyle name="Normal 2" xfId="1" xr:uid="{197AE02F-831F-4A4F-B321-08D8A4DFD5D2}"/>
    <cellStyle name="Normal 3" xfId="2" xr:uid="{91330B0A-7634-274C-90BC-CD5E80B9CB5F}"/>
  </cellStyles>
  <dxfs count="25">
    <dxf>
      <numFmt numFmtId="19" formatCode="m/d/yy"/>
    </dxf>
    <dxf>
      <numFmt numFmtId="4" formatCode="#,##0.00"/>
    </dxf>
    <dxf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8" formatCode="m/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9" formatCode="m/d/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9" formatCode="&quot;$&quot;#,##0.00"/>
    </dxf>
    <dxf>
      <numFmt numFmtId="170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B2:C19" headerRowCount="0">
  <tableColumns count="2">
    <tableColumn id="1" xr3:uid="{00000000-0010-0000-0000-000001000000}" name="Account Type"/>
    <tableColumn id="2" xr3:uid="{00000000-0010-0000-0000-000002000000}" name="Account Type Group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5" displayName="Table25" ref="B2:E7" headerRowCount="0">
  <tableColumns count="4">
    <tableColumn id="1" xr3:uid="{00000000-0010-0000-0100-000001000000}" name="Account"/>
    <tableColumn id="2" xr3:uid="{00000000-0010-0000-0100-000002000000}" name="Account Type2"/>
    <tableColumn id="3" xr3:uid="{00000000-0010-0000-0100-000003000000}" name="Owner"/>
    <tableColumn id="4" xr3:uid="{00000000-0010-0000-0100-000004000000}" name="Column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9AA60D-8318-9E4E-9903-ED220D4DCCB1}" name="Table4" displayName="Table4" ref="B2:D12" totalsRowShown="0" headerRowDxfId="21">
  <autoFilter ref="B2:D12" xr:uid="{2D9AA60D-8318-9E4E-9903-ED220D4DCCB1}"/>
  <tableColumns count="3">
    <tableColumn id="1" xr3:uid="{FD768952-7393-BF4C-9494-0022006E52FF}" name="Source" dataDxfId="20"/>
    <tableColumn id="2" xr3:uid="{86187974-3E91-C647-9BFC-00BE61E03B54}" name="Target" dataDxfId="19"/>
    <tableColumn id="3" xr3:uid="{70802702-5A45-AE43-8E76-2B17602E03B4}" name="Value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1C1F6C-9D56-C645-82B4-A6840FD2CD8A}" name="Table5" displayName="Table5" ref="B2:N99" totalsRowShown="0" headerRowDxfId="17" dataDxfId="16">
  <autoFilter ref="B2:N99" xr:uid="{071C1F6C-9D56-C645-82B4-A6840FD2CD8A}"/>
  <tableColumns count="13">
    <tableColumn id="1" xr3:uid="{3B8AA412-83B4-4C41-A6DE-89F9A27F0489}" name="Account" dataDxfId="15"/>
    <tableColumn id="2" xr3:uid="{D405B14C-D4FB-E945-AB57-FC1D3A8DFD17}" name="Account Type" dataDxfId="14">
      <calculatedColumnFormula array="1">_xlfn.XLOOKUP(Table5[[#This Row],[Account]],Table25[[#All],[Account]],Table25[[#All],[Account Type2]])</calculatedColumnFormula>
    </tableColumn>
    <tableColumn id="3" xr3:uid="{CF92C7C5-1AA7-F14D-9CF7-1C14E27983F3}" name="Owner" dataDxfId="13">
      <calculatedColumnFormula array="1">_xlfn.XLOOKUP(Table5[[#This Row],[Account]],Table25[[#All],[Account]],Table25[[#All],[Owner]])</calculatedColumnFormula>
    </tableColumn>
    <tableColumn id="4" xr3:uid="{F46FBE61-5F6F-0346-9DB4-BA8D403D718E}" name="Transaction" dataDxfId="12">
      <calculatedColumnFormula>IF(Table5[[#This Row],[Date Sold]]&lt;&gt;"","Closed","Open")</calculatedColumnFormula>
    </tableColumn>
    <tableColumn id="5" xr3:uid="{9F3AD24D-F507-BE4C-941F-E27B3179E8A1}" name="Symbol" dataDxfId="11"/>
    <tableColumn id="6" xr3:uid="{07BD319D-C71D-7D42-A6A9-632A68D17563}" name="Security Description" dataDxfId="10">
      <calculatedColumnFormula array="1">_xlfn.XLOOKUP(Table5[[#This Row],[Symbol]],Table36[[#All],[Symbol]],Table36[[#All],[Security Description]])</calculatedColumnFormula>
    </tableColumn>
    <tableColumn id="7" xr3:uid="{AC6A28B6-542B-C649-B352-E47512E6540A}" name="Date Acquired" dataDxfId="9"/>
    <tableColumn id="8" xr3:uid="{F81F41F1-E631-C04C-A113-EF2D40A51ECD}" name="Shares Bought" dataDxfId="8"/>
    <tableColumn id="9" xr3:uid="{3F0E12FB-6D89-0D47-9C72-61AC3E7F0640}" name="Cost Basis Per Share" dataDxfId="7"/>
    <tableColumn id="10" xr3:uid="{043BAA02-5FE4-914B-AB4D-77D0EE1FF79B}" name="Date Sold" dataDxfId="6"/>
    <tableColumn id="11" xr3:uid="{09FB2FCE-54C4-6E42-91E9-7F9CBB7DB59A}" name="Charitable Donation" dataDxfId="5"/>
    <tableColumn id="12" xr3:uid="{AB2FB01E-1100-CA46-A104-EC877C05D2EB}" name="Shares Sold" dataDxfId="4"/>
    <tableColumn id="13" xr3:uid="{7154F25D-B5CE-2F41-A7D0-7CB9FF245DDD}" name="Sell Basis Per Share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9AB7B9-5986-1F4E-A8CA-F85049252FA3}" name="Table1" displayName="Table1" ref="B5:G128" totalsRowShown="0">
  <autoFilter ref="B5:G128" xr:uid="{DDCA0B21-91E9-644F-9BD5-0A7EC1252213}"/>
  <tableColumns count="6">
    <tableColumn id="1" xr3:uid="{041CF325-5D4E-6449-90E7-8C37FE8D05F1}" name="Account" dataCellStyle="Normal 2"/>
    <tableColumn id="2" xr3:uid="{9DDFF73C-A0B7-7E4C-B3A5-44F6D17E8687}" name="Date" dataDxfId="2"/>
    <tableColumn id="3" xr3:uid="{B6B8154C-061D-3348-8C59-059E09935C91}" name="Investment"/>
    <tableColumn id="4" xr3:uid="{1FC0163D-AD51-B142-9F80-9B19A030E8C9}" name="Transaction Type"/>
    <tableColumn id="5" xr3:uid="{602A6D80-9B39-D647-AE44-1D24F4684C25}" name="Amount" dataDxfId="1" dataCellStyle="Normal 2"/>
    <tableColumn id="6" xr3:uid="{307C052A-3664-7040-869B-6F22FB2327F9}" name="Shares/Unit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93F1EF-4B21-3641-BD9A-FCC27A557F36}" name="Table2" displayName="Table2" ref="B14:O342" totalsRowShown="0">
  <autoFilter ref="B14:O342" xr:uid="{2284B572-CA4B-7041-B0F0-2BD6AED99A1E}"/>
  <sortState xmlns:xlrd2="http://schemas.microsoft.com/office/spreadsheetml/2017/richdata2" ref="B15:O342">
    <sortCondition ref="C14:C342"/>
  </sortState>
  <tableColumns count="14">
    <tableColumn id="1" xr3:uid="{A227B633-DDC6-ED49-A690-710FE6E574EC}" name="Account Number" dataCellStyle="Normal 3"/>
    <tableColumn id="2" xr3:uid="{EADCE6D7-0BBC-814B-87AB-F66E0D6A3F57}" name="Run Date" dataDxfId="0"/>
    <tableColumn id="3" xr3:uid="{E867AE52-FE0B-4C40-A931-E08C264E2EB3}" name="Action"/>
    <tableColumn id="4" xr3:uid="{6E837F63-7730-DB43-B2A2-223E44FBA322}" name="Symbol"/>
    <tableColumn id="5" xr3:uid="{73AEC6AE-2555-1B43-81EF-96775E34287E}" name="Description"/>
    <tableColumn id="6" xr3:uid="{86C8A4A8-0432-704B-A2CD-1C669DD51FB4}" name="Type"/>
    <tableColumn id="7" xr3:uid="{33503BD1-B4B0-194F-BEDD-743FE99D1004}" name="Price ($)"/>
    <tableColumn id="8" xr3:uid="{8C29AB62-0563-F547-BC9F-2D6A3EE5E18B}" name="Quantity"/>
    <tableColumn id="9" xr3:uid="{C51A610E-719B-8842-B9DD-FAEC31BAE1D2}" name="Commission ($)"/>
    <tableColumn id="10" xr3:uid="{A80B9A1C-5D84-E740-89BB-71E81884297B}" name="Fees ($)"/>
    <tableColumn id="11" xr3:uid="{7D2DB052-509F-5443-BC0F-F4E7DA6C2EE9}" name="Accrued Interest ($)"/>
    <tableColumn id="12" xr3:uid="{3B7FA341-8C07-804E-B2F3-3D4B55F3D22C}" name="Amount ($)"/>
    <tableColumn id="13" xr3:uid="{01E6BA6F-538F-3A41-893B-A66ECC61D9C2}" name="Cash Balance ($)"/>
    <tableColumn id="14" xr3:uid="{6E664F52-884F-3C41-9A13-3AF4BA9D38DB}" name="Settlement Date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6" displayName="Table36" ref="B2:C123" headerRowCount="0">
  <tableColumns count="2">
    <tableColumn id="1" xr3:uid="{00000000-0010-0000-0300-000001000000}" name="Symbol"/>
    <tableColumn id="2" xr3:uid="{00000000-0010-0000-0300-000002000000}" name="Security Description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7F1F62-5DFD-694A-B2FE-B057AF1D65FE}" name="Table7" displayName="Table7" ref="A1:E37" totalsRowShown="0">
  <autoFilter ref="A1:E37" xr:uid="{D352F7E9-5949-BE47-8F77-218E3CFCC6F7}"/>
  <tableColumns count="5">
    <tableColumn id="1" xr3:uid="{965309E9-EFD9-9640-A68F-CCD067FE02DA}" name="Investment"/>
    <tableColumn id="2" xr3:uid="{72238DFA-4258-3647-8ACA-7816FA4D55B3}" name="Ticker"/>
    <tableColumn id="3" xr3:uid="{DEA5F600-CB01-A74F-B23D-EDF0F29AD6A9}" name="Proxy"/>
    <tableColumn id="4" xr3:uid="{60F18CEA-1903-5F48-9AA8-3E5CED0FDD5E}" name="Fallback"/>
    <tableColumn id="5" xr3:uid="{52585728-37A4-3A4F-B6C7-AA2000B7E8B3}" name="Notes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7BECF9-0A67-0C40-9829-C8A4E0BE0BA6}" name="Table8" displayName="Table8" ref="A1:D16" totalsRowShown="0" headerRowDxfId="24">
  <autoFilter ref="A1:D16" xr:uid="{A37BECF9-0A67-0C40-9829-C8A4E0BE0BA6}"/>
  <tableColumns count="4">
    <tableColumn id="1" xr3:uid="{8BA61C3C-4537-894B-B89B-7BAA960098F8}" name="Date" dataDxfId="23"/>
    <tableColumn id="2" xr3:uid="{C75BDD2A-1E6E-B84D-8DBF-10AF2B3838CF}" name="Organization"/>
    <tableColumn id="3" xr3:uid="{AB45F69B-75CD-8641-951D-3325632540F3}" name="Sector"/>
    <tableColumn id="4" xr3:uid="{07DFBE27-15D1-4C47-BC3B-CCABEC71E4F2}" name="Amount" dataDxfId="2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B2:C19"/>
  <sheetViews>
    <sheetView tabSelected="1" zoomScaleNormal="100" workbookViewId="0">
      <selection activeCell="B2" sqref="B2:C19"/>
    </sheetView>
  </sheetViews>
  <sheetFormatPr baseColWidth="10" defaultColWidth="8.83203125" defaultRowHeight="15" x14ac:dyDescent="0.2"/>
  <cols>
    <col min="2" max="2" width="25.83203125" customWidth="1"/>
    <col min="3" max="3" width="19.6640625" customWidth="1"/>
  </cols>
  <sheetData>
    <row r="2" spans="2:3" x14ac:dyDescent="0.2">
      <c r="B2" t="s">
        <v>0</v>
      </c>
      <c r="C2" t="s">
        <v>1</v>
      </c>
    </row>
    <row r="3" spans="2:3" ht="17" customHeight="1" x14ac:dyDescent="0.2">
      <c r="B3" t="s">
        <v>2</v>
      </c>
      <c r="C3" t="s">
        <v>2</v>
      </c>
    </row>
    <row r="4" spans="2:3" ht="17" customHeight="1" x14ac:dyDescent="0.2">
      <c r="B4" t="s">
        <v>3</v>
      </c>
      <c r="C4" t="s">
        <v>2</v>
      </c>
    </row>
    <row r="5" spans="2:3" ht="17" customHeight="1" x14ac:dyDescent="0.2">
      <c r="B5" t="s">
        <v>4</v>
      </c>
      <c r="C5" t="s">
        <v>2</v>
      </c>
    </row>
    <row r="6" spans="2:3" ht="17" customHeight="1" x14ac:dyDescent="0.2">
      <c r="B6" t="s">
        <v>5</v>
      </c>
      <c r="C6" t="s">
        <v>6</v>
      </c>
    </row>
    <row r="7" spans="2:3" ht="17" customHeight="1" x14ac:dyDescent="0.2">
      <c r="B7" t="s">
        <v>7</v>
      </c>
      <c r="C7" t="s">
        <v>6</v>
      </c>
    </row>
    <row r="8" spans="2:3" ht="17" customHeight="1" x14ac:dyDescent="0.2">
      <c r="B8" t="s">
        <v>8</v>
      </c>
      <c r="C8" t="s">
        <v>6</v>
      </c>
    </row>
    <row r="9" spans="2:3" ht="17" customHeight="1" x14ac:dyDescent="0.2">
      <c r="B9" t="s">
        <v>9</v>
      </c>
      <c r="C9" t="s">
        <v>6</v>
      </c>
    </row>
    <row r="10" spans="2:3" ht="17" customHeight="1" x14ac:dyDescent="0.2">
      <c r="B10" t="s">
        <v>10</v>
      </c>
      <c r="C10" t="s">
        <v>6</v>
      </c>
    </row>
    <row r="11" spans="2:3" ht="17" customHeight="1" x14ac:dyDescent="0.2">
      <c r="B11" t="s">
        <v>11</v>
      </c>
      <c r="C11" t="s">
        <v>6</v>
      </c>
    </row>
    <row r="12" spans="2:3" ht="17" customHeight="1" x14ac:dyDescent="0.2">
      <c r="B12" t="s">
        <v>12</v>
      </c>
      <c r="C12" t="s">
        <v>6</v>
      </c>
    </row>
    <row r="13" spans="2:3" ht="17" customHeight="1" x14ac:dyDescent="0.2">
      <c r="B13" t="s">
        <v>13</v>
      </c>
      <c r="C13" t="s">
        <v>6</v>
      </c>
    </row>
    <row r="14" spans="2:3" ht="17" customHeight="1" x14ac:dyDescent="0.2">
      <c r="B14" t="s">
        <v>14</v>
      </c>
      <c r="C14" t="s">
        <v>6</v>
      </c>
    </row>
    <row r="15" spans="2:3" ht="17" customHeight="1" x14ac:dyDescent="0.2">
      <c r="B15" t="s">
        <v>15</v>
      </c>
      <c r="C15" t="s">
        <v>15</v>
      </c>
    </row>
    <row r="16" spans="2:3" ht="17" customHeight="1" x14ac:dyDescent="0.2">
      <c r="B16">
        <v>529</v>
      </c>
      <c r="C16" t="s">
        <v>16</v>
      </c>
    </row>
    <row r="17" spans="2:3" ht="17" customHeight="1" x14ac:dyDescent="0.2">
      <c r="B17" t="s">
        <v>17</v>
      </c>
      <c r="C17" t="s">
        <v>16</v>
      </c>
    </row>
    <row r="18" spans="2:3" ht="17" customHeight="1" x14ac:dyDescent="0.2">
      <c r="B18" t="s">
        <v>18</v>
      </c>
      <c r="C18" t="s">
        <v>2</v>
      </c>
    </row>
    <row r="19" spans="2:3" x14ac:dyDescent="0.2">
      <c r="B19" t="s">
        <v>390</v>
      </c>
      <c r="C19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B2:E18"/>
  <sheetViews>
    <sheetView zoomScaleNormal="100" workbookViewId="0">
      <selection activeCell="B8" sqref="B8"/>
    </sheetView>
  </sheetViews>
  <sheetFormatPr baseColWidth="10" defaultColWidth="10.83203125" defaultRowHeight="16" customHeight="1" x14ac:dyDescent="0.2"/>
  <cols>
    <col min="1" max="1" width="10.83203125" style="1" customWidth="1"/>
    <col min="2" max="3" width="14.6640625" style="1" customWidth="1"/>
    <col min="4" max="4" width="10.83203125" style="1" customWidth="1"/>
    <col min="5" max="5" width="13.1640625" style="1" customWidth="1"/>
    <col min="6" max="6" width="10.83203125" style="1" customWidth="1"/>
    <col min="7" max="16384" width="10.83203125" style="1"/>
  </cols>
  <sheetData>
    <row r="2" spans="2:5" ht="16" customHeight="1" x14ac:dyDescent="0.2">
      <c r="B2" s="2" t="s">
        <v>19</v>
      </c>
      <c r="C2" s="2" t="s">
        <v>0</v>
      </c>
      <c r="D2" s="3" t="s">
        <v>20</v>
      </c>
      <c r="E2" s="4" t="s">
        <v>21</v>
      </c>
    </row>
    <row r="3" spans="2:5" ht="16" customHeight="1" x14ac:dyDescent="0.2">
      <c r="B3" s="5" t="s">
        <v>22</v>
      </c>
      <c r="C3" s="6" t="s">
        <v>2</v>
      </c>
      <c r="D3" s="1" t="s">
        <v>23</v>
      </c>
      <c r="E3" s="1" t="s">
        <v>24</v>
      </c>
    </row>
    <row r="4" spans="2:5" ht="16" customHeight="1" x14ac:dyDescent="0.2">
      <c r="B4" s="5" t="s">
        <v>25</v>
      </c>
      <c r="C4" s="6" t="s">
        <v>7</v>
      </c>
      <c r="D4" s="1" t="s">
        <v>26</v>
      </c>
      <c r="E4" s="1" t="s">
        <v>27</v>
      </c>
    </row>
    <row r="5" spans="2:5" ht="16" customHeight="1" x14ac:dyDescent="0.2">
      <c r="B5" s="5" t="s">
        <v>28</v>
      </c>
      <c r="C5" s="6" t="s">
        <v>15</v>
      </c>
      <c r="D5" s="1" t="s">
        <v>29</v>
      </c>
      <c r="E5" s="1" t="s">
        <v>30</v>
      </c>
    </row>
    <row r="6" spans="2:5" ht="16" customHeight="1" x14ac:dyDescent="0.2">
      <c r="B6" s="7" t="s">
        <v>436</v>
      </c>
      <c r="C6" s="6" t="s">
        <v>437</v>
      </c>
      <c r="D6" s="73" t="s">
        <v>23</v>
      </c>
      <c r="E6" s="73" t="s">
        <v>390</v>
      </c>
    </row>
    <row r="7" spans="2:5" ht="16" customHeight="1" x14ac:dyDescent="0.2">
      <c r="B7" s="7" t="s">
        <v>638</v>
      </c>
      <c r="C7" s="84" t="s">
        <v>390</v>
      </c>
      <c r="D7" s="85" t="s">
        <v>26</v>
      </c>
      <c r="E7" s="85" t="s">
        <v>493</v>
      </c>
    </row>
    <row r="8" spans="2:5" ht="16" customHeight="1" x14ac:dyDescent="0.2">
      <c r="B8" s="5"/>
      <c r="C8" s="6"/>
    </row>
    <row r="9" spans="2:5" ht="16" customHeight="1" x14ac:dyDescent="0.2">
      <c r="B9" s="5"/>
      <c r="C9" s="6"/>
    </row>
    <row r="10" spans="2:5" ht="16" customHeight="1" x14ac:dyDescent="0.2">
      <c r="B10" s="5"/>
      <c r="C10" s="6"/>
    </row>
    <row r="11" spans="2:5" ht="16" customHeight="1" x14ac:dyDescent="0.2">
      <c r="B11" s="5"/>
      <c r="C11" s="6"/>
    </row>
    <row r="12" spans="2:5" ht="16" customHeight="1" x14ac:dyDescent="0.2">
      <c r="B12" s="5"/>
      <c r="C12" s="6"/>
    </row>
    <row r="13" spans="2:5" ht="16" customHeight="1" x14ac:dyDescent="0.2">
      <c r="B13" s="5"/>
      <c r="C13" s="6"/>
    </row>
    <row r="14" spans="2:5" ht="16" customHeight="1" x14ac:dyDescent="0.2">
      <c r="B14" s="5"/>
      <c r="C14" s="6"/>
    </row>
    <row r="15" spans="2:5" ht="16" customHeight="1" x14ac:dyDescent="0.2">
      <c r="B15" s="7"/>
      <c r="C15" s="6"/>
    </row>
    <row r="16" spans="2:5" ht="16" customHeight="1" x14ac:dyDescent="0.2">
      <c r="B16" s="7"/>
      <c r="C16" s="6"/>
    </row>
    <row r="17" spans="2:3" ht="16" customHeight="1" x14ac:dyDescent="0.2">
      <c r="B17" s="7"/>
      <c r="C17" s="6"/>
    </row>
    <row r="18" spans="2:3" ht="16" customHeight="1" x14ac:dyDescent="0.2">
      <c r="B18" s="7"/>
      <c r="C18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AM21"/>
  <sheetViews>
    <sheetView zoomScale="125" zoomScaleNormal="100" workbookViewId="0">
      <pane xSplit="1" ySplit="2" topLeftCell="I3" activePane="bottomRight" state="frozen"/>
      <selection pane="topRight"/>
      <selection pane="bottomLeft"/>
      <selection pane="bottomRight" activeCell="A2" sqref="A2:XFD20"/>
    </sheetView>
  </sheetViews>
  <sheetFormatPr baseColWidth="10" defaultColWidth="10.83203125" defaultRowHeight="14" customHeight="1" x14ac:dyDescent="0.2"/>
  <cols>
    <col min="1" max="1" width="10.83203125" style="8" customWidth="1"/>
    <col min="2" max="2" width="19.6640625" style="8" customWidth="1"/>
    <col min="3" max="18" width="11.5" style="8" customWidth="1"/>
    <col min="19" max="19" width="10.83203125" style="8" customWidth="1"/>
    <col min="20" max="16384" width="10.83203125" style="8"/>
  </cols>
  <sheetData>
    <row r="1" spans="1:39" x14ac:dyDescent="0.2">
      <c r="A1" s="9" t="s">
        <v>31</v>
      </c>
    </row>
    <row r="2" spans="1:39" x14ac:dyDescent="0.2">
      <c r="C2" s="10">
        <v>45658</v>
      </c>
      <c r="D2" s="10">
        <v>45689</v>
      </c>
      <c r="E2" s="10">
        <v>45717</v>
      </c>
      <c r="F2" s="10">
        <v>45748</v>
      </c>
      <c r="G2" s="10">
        <v>45778</v>
      </c>
      <c r="H2" s="10">
        <v>45809</v>
      </c>
      <c r="I2" s="10">
        <v>45839</v>
      </c>
      <c r="J2" s="10">
        <v>45870</v>
      </c>
      <c r="K2" s="10">
        <v>45901</v>
      </c>
      <c r="L2" s="10">
        <v>45931</v>
      </c>
      <c r="M2" s="10">
        <v>45962</v>
      </c>
      <c r="N2" s="10">
        <v>45992</v>
      </c>
      <c r="O2" s="10">
        <v>46023</v>
      </c>
      <c r="P2" s="10">
        <v>46054</v>
      </c>
      <c r="Q2" s="10">
        <v>46082</v>
      </c>
      <c r="R2" s="10">
        <v>46113</v>
      </c>
      <c r="S2" s="10">
        <v>46143</v>
      </c>
      <c r="T2" s="10">
        <v>46174</v>
      </c>
      <c r="U2" s="10">
        <v>46204</v>
      </c>
      <c r="V2" s="10">
        <v>46235</v>
      </c>
      <c r="W2" s="10">
        <v>46266</v>
      </c>
      <c r="X2" s="10">
        <v>46296</v>
      </c>
      <c r="Y2" s="10">
        <v>46327</v>
      </c>
      <c r="Z2" s="10">
        <v>46357</v>
      </c>
      <c r="AA2" s="10">
        <v>46388</v>
      </c>
      <c r="AB2" s="10">
        <v>46419</v>
      </c>
      <c r="AC2" s="10">
        <v>46447</v>
      </c>
      <c r="AD2" s="10">
        <v>46478</v>
      </c>
      <c r="AE2" s="10">
        <v>46508</v>
      </c>
      <c r="AF2" s="10">
        <v>46539</v>
      </c>
      <c r="AG2" s="10">
        <v>46569</v>
      </c>
      <c r="AH2" s="10">
        <v>46600</v>
      </c>
      <c r="AI2" s="10">
        <v>46631</v>
      </c>
      <c r="AJ2" s="10">
        <v>46661</v>
      </c>
      <c r="AK2" s="10">
        <v>46692</v>
      </c>
      <c r="AL2" s="10">
        <v>46722</v>
      </c>
      <c r="AM2" s="10">
        <v>46753</v>
      </c>
    </row>
    <row r="3" spans="1:39" x14ac:dyDescent="0.2">
      <c r="B3" s="8" t="s">
        <v>32</v>
      </c>
      <c r="C3" s="11">
        <v>-300000</v>
      </c>
      <c r="D3" s="11">
        <f>C3+2500</f>
        <v>-297500</v>
      </c>
      <c r="E3" s="11">
        <f t="shared" ref="E3:R3" si="0">D3+2500</f>
        <v>-295000</v>
      </c>
      <c r="F3" s="11">
        <f t="shared" si="0"/>
        <v>-292500</v>
      </c>
      <c r="G3" s="11">
        <f t="shared" si="0"/>
        <v>-290000</v>
      </c>
      <c r="H3" s="11">
        <f t="shared" si="0"/>
        <v>-287500</v>
      </c>
      <c r="I3" s="11">
        <f t="shared" si="0"/>
        <v>-285000</v>
      </c>
      <c r="J3" s="11">
        <f t="shared" si="0"/>
        <v>-282500</v>
      </c>
      <c r="K3" s="11">
        <f t="shared" si="0"/>
        <v>-280000</v>
      </c>
      <c r="L3" s="11">
        <f t="shared" si="0"/>
        <v>-277500</v>
      </c>
      <c r="M3" s="11">
        <v>-250000</v>
      </c>
      <c r="N3" s="11">
        <f t="shared" si="0"/>
        <v>-247500</v>
      </c>
      <c r="O3" s="11">
        <f t="shared" si="0"/>
        <v>-245000</v>
      </c>
      <c r="P3" s="11">
        <f t="shared" si="0"/>
        <v>-242500</v>
      </c>
      <c r="Q3" s="11">
        <f t="shared" si="0"/>
        <v>-240000</v>
      </c>
      <c r="R3" s="11">
        <f t="shared" si="0"/>
        <v>-237500</v>
      </c>
    </row>
    <row r="4" spans="1:39" x14ac:dyDescent="0.2">
      <c r="B4" s="8" t="s">
        <v>33</v>
      </c>
      <c r="C4" s="11">
        <v>50000</v>
      </c>
      <c r="D4" s="11">
        <f>C4*1.01</f>
        <v>50500</v>
      </c>
      <c r="E4" s="11">
        <f t="shared" ref="E4:R4" si="1">D4*1.01</f>
        <v>51005</v>
      </c>
      <c r="F4" s="11">
        <f t="shared" si="1"/>
        <v>51515.05</v>
      </c>
      <c r="G4" s="11">
        <f t="shared" si="1"/>
        <v>52030.200500000006</v>
      </c>
      <c r="H4" s="11">
        <f t="shared" si="1"/>
        <v>52550.502505000004</v>
      </c>
      <c r="I4" s="11">
        <f t="shared" si="1"/>
        <v>53076.007530050003</v>
      </c>
      <c r="J4" s="11">
        <f t="shared" si="1"/>
        <v>53606.767605350506</v>
      </c>
      <c r="K4" s="11">
        <f t="shared" si="1"/>
        <v>54142.835281404012</v>
      </c>
      <c r="L4" s="11">
        <f t="shared" si="1"/>
        <v>54684.263634218056</v>
      </c>
      <c r="M4" s="11">
        <f t="shared" si="1"/>
        <v>55231.106270560238</v>
      </c>
      <c r="N4" s="11">
        <f t="shared" si="1"/>
        <v>55783.417333265839</v>
      </c>
      <c r="O4" s="11">
        <f t="shared" si="1"/>
        <v>56341.251506598499</v>
      </c>
      <c r="P4" s="11">
        <f t="shared" si="1"/>
        <v>56904.664021664481</v>
      </c>
      <c r="Q4" s="11">
        <f t="shared" si="1"/>
        <v>57473.710661881123</v>
      </c>
      <c r="R4" s="11">
        <f t="shared" si="1"/>
        <v>58048.447768499937</v>
      </c>
    </row>
    <row r="5" spans="1:39" x14ac:dyDescent="0.2">
      <c r="B5" s="8" t="s">
        <v>2</v>
      </c>
      <c r="C5" s="11">
        <v>100000</v>
      </c>
      <c r="D5" s="11">
        <f>C5*1.03</f>
        <v>103000</v>
      </c>
      <c r="E5" s="11">
        <f t="shared" ref="E5:R5" si="2">D5*1.03</f>
        <v>106090</v>
      </c>
      <c r="F5" s="11">
        <f t="shared" si="2"/>
        <v>109272.7</v>
      </c>
      <c r="G5" s="11">
        <f t="shared" si="2"/>
        <v>112550.88099999999</v>
      </c>
      <c r="H5" s="11">
        <f t="shared" si="2"/>
        <v>115927.40742999999</v>
      </c>
      <c r="I5" s="11">
        <f t="shared" si="2"/>
        <v>119405.2296529</v>
      </c>
      <c r="J5" s="11">
        <f t="shared" si="2"/>
        <v>122987.386542487</v>
      </c>
      <c r="K5" s="11">
        <f t="shared" si="2"/>
        <v>126677.00813876161</v>
      </c>
      <c r="L5" s="11">
        <f t="shared" si="2"/>
        <v>130477.31838292447</v>
      </c>
      <c r="M5" s="11">
        <f t="shared" si="2"/>
        <v>134391.6379344122</v>
      </c>
      <c r="N5" s="11">
        <f t="shared" si="2"/>
        <v>138423.38707244457</v>
      </c>
      <c r="O5" s="11">
        <f t="shared" si="2"/>
        <v>142576.08868461792</v>
      </c>
      <c r="P5" s="11">
        <f t="shared" si="2"/>
        <v>146853.37134515645</v>
      </c>
      <c r="Q5" s="11">
        <f t="shared" si="2"/>
        <v>151258.97248551116</v>
      </c>
      <c r="R5" s="11">
        <f t="shared" si="2"/>
        <v>155796.74166007648</v>
      </c>
    </row>
    <row r="6" spans="1:39" x14ac:dyDescent="0.2">
      <c r="B6" s="8" t="s">
        <v>34</v>
      </c>
      <c r="C6" s="11">
        <v>10000</v>
      </c>
      <c r="D6" s="11">
        <f>C6</f>
        <v>10000</v>
      </c>
      <c r="E6" s="11">
        <f t="shared" ref="E6:R6" si="3">D6</f>
        <v>10000</v>
      </c>
      <c r="F6" s="11">
        <f t="shared" si="3"/>
        <v>10000</v>
      </c>
      <c r="G6" s="11">
        <f t="shared" si="3"/>
        <v>10000</v>
      </c>
      <c r="H6" s="11">
        <f t="shared" si="3"/>
        <v>10000</v>
      </c>
      <c r="I6" s="11">
        <f t="shared" si="3"/>
        <v>10000</v>
      </c>
      <c r="J6" s="11">
        <f t="shared" si="3"/>
        <v>10000</v>
      </c>
      <c r="K6" s="11">
        <f t="shared" si="3"/>
        <v>10000</v>
      </c>
      <c r="L6" s="11">
        <f t="shared" si="3"/>
        <v>10000</v>
      </c>
      <c r="M6" s="11">
        <f t="shared" si="3"/>
        <v>10000</v>
      </c>
      <c r="N6" s="11">
        <f t="shared" si="3"/>
        <v>10000</v>
      </c>
      <c r="O6" s="11">
        <f t="shared" si="3"/>
        <v>10000</v>
      </c>
      <c r="P6" s="11">
        <f t="shared" si="3"/>
        <v>10000</v>
      </c>
      <c r="Q6" s="11">
        <f t="shared" si="3"/>
        <v>10000</v>
      </c>
      <c r="R6" s="11">
        <f t="shared" si="3"/>
        <v>10000</v>
      </c>
    </row>
    <row r="7" spans="1:39" x14ac:dyDescent="0.2">
      <c r="B7" s="8" t="s">
        <v>6</v>
      </c>
      <c r="C7" s="11">
        <v>250000</v>
      </c>
      <c r="D7" s="11">
        <f>C7*1.01</f>
        <v>252500</v>
      </c>
      <c r="E7" s="11">
        <f t="shared" ref="E7:R7" si="4">D7*1.01</f>
        <v>255025</v>
      </c>
      <c r="F7" s="11">
        <f t="shared" si="4"/>
        <v>257575.25</v>
      </c>
      <c r="G7" s="11">
        <f t="shared" si="4"/>
        <v>260151.0025</v>
      </c>
      <c r="H7" s="11">
        <f t="shared" si="4"/>
        <v>262752.51252500003</v>
      </c>
      <c r="I7" s="11">
        <f t="shared" si="4"/>
        <v>265380.03765025001</v>
      </c>
      <c r="J7" s="11">
        <f t="shared" si="4"/>
        <v>268033.83802675252</v>
      </c>
      <c r="K7" s="11">
        <f t="shared" si="4"/>
        <v>270714.17640702007</v>
      </c>
      <c r="L7" s="11">
        <f t="shared" si="4"/>
        <v>273421.31817109027</v>
      </c>
      <c r="M7" s="11">
        <f t="shared" si="4"/>
        <v>276155.53135280119</v>
      </c>
      <c r="N7" s="11">
        <f t="shared" si="4"/>
        <v>278917.08666632918</v>
      </c>
      <c r="O7" s="11">
        <f t="shared" si="4"/>
        <v>281706.25753299246</v>
      </c>
      <c r="P7" s="11">
        <f t="shared" si="4"/>
        <v>284523.32010832237</v>
      </c>
      <c r="Q7" s="11">
        <f t="shared" si="4"/>
        <v>287368.55330940557</v>
      </c>
      <c r="R7" s="11">
        <f t="shared" si="4"/>
        <v>290242.23884249962</v>
      </c>
    </row>
    <row r="8" spans="1:39" x14ac:dyDescent="0.2">
      <c r="B8" s="8" t="s">
        <v>35</v>
      </c>
      <c r="C8" s="12">
        <v>500000</v>
      </c>
      <c r="D8" s="12">
        <v>500000</v>
      </c>
      <c r="E8" s="12">
        <v>500000</v>
      </c>
      <c r="F8" s="12">
        <v>500000</v>
      </c>
      <c r="G8" s="12">
        <v>500000</v>
      </c>
      <c r="H8" s="12">
        <v>500000</v>
      </c>
      <c r="I8" s="12">
        <v>500000</v>
      </c>
      <c r="J8" s="12">
        <v>500000</v>
      </c>
      <c r="K8" s="12">
        <v>500000</v>
      </c>
      <c r="L8" s="12">
        <v>500000</v>
      </c>
      <c r="M8" s="12">
        <v>500000</v>
      </c>
      <c r="N8" s="12">
        <v>500000</v>
      </c>
      <c r="O8" s="12">
        <v>500000</v>
      </c>
      <c r="P8" s="12">
        <v>500000</v>
      </c>
      <c r="Q8" s="12">
        <v>500000</v>
      </c>
      <c r="R8" s="12">
        <v>500000</v>
      </c>
    </row>
    <row r="9" spans="1:39" x14ac:dyDescent="0.2">
      <c r="B9" s="8" t="s">
        <v>36</v>
      </c>
      <c r="C9" s="11">
        <v>25000</v>
      </c>
      <c r="D9" s="11">
        <v>25000</v>
      </c>
      <c r="E9" s="11">
        <v>25000</v>
      </c>
      <c r="F9" s="11">
        <v>25000</v>
      </c>
      <c r="G9" s="11">
        <v>25000</v>
      </c>
      <c r="H9" s="11">
        <v>25000</v>
      </c>
      <c r="I9" s="11">
        <v>25000</v>
      </c>
      <c r="J9" s="11">
        <v>25000</v>
      </c>
      <c r="K9" s="11">
        <v>25000</v>
      </c>
      <c r="L9" s="11">
        <v>25000</v>
      </c>
      <c r="M9" s="11">
        <v>25000</v>
      </c>
      <c r="N9" s="11">
        <v>25000</v>
      </c>
      <c r="O9" s="11">
        <v>25000</v>
      </c>
      <c r="P9" s="11">
        <v>25000</v>
      </c>
      <c r="Q9" s="11">
        <v>25000</v>
      </c>
      <c r="R9" s="11">
        <v>25000</v>
      </c>
    </row>
    <row r="10" spans="1:39" hidden="1" x14ac:dyDescent="0.2">
      <c r="B10" s="13" t="s">
        <v>37</v>
      </c>
      <c r="C10" s="14" t="e">
        <f>#REF!-C3</f>
        <v>#REF!</v>
      </c>
      <c r="D10" s="14" t="e">
        <f>#REF!-D3</f>
        <v>#REF!</v>
      </c>
      <c r="E10" s="14" t="e">
        <f>#REF!-E3</f>
        <v>#REF!</v>
      </c>
      <c r="F10" s="14" t="e">
        <f>#REF!-F3</f>
        <v>#REF!</v>
      </c>
      <c r="G10" s="14" t="e">
        <f>#REF!-G3</f>
        <v>#REF!</v>
      </c>
      <c r="H10" s="14" t="e">
        <f>#REF!-H3</f>
        <v>#REF!</v>
      </c>
      <c r="I10" s="14" t="e">
        <f>#REF!-I3</f>
        <v>#REF!</v>
      </c>
      <c r="J10" s="14" t="e">
        <f>#REF!-J3</f>
        <v>#REF!</v>
      </c>
      <c r="K10" s="14" t="e">
        <f>#REF!-K3</f>
        <v>#REF!</v>
      </c>
      <c r="L10" s="14" t="e">
        <f>#REF!-L3</f>
        <v>#REF!</v>
      </c>
      <c r="M10" s="14" t="e">
        <f>#REF!-M3</f>
        <v>#REF!</v>
      </c>
      <c r="N10" s="14" t="e">
        <f>#REF!-N3</f>
        <v>#REF!</v>
      </c>
      <c r="O10" s="14">
        <f t="shared" ref="O10:P10" si="5">C3-O3</f>
        <v>-55000</v>
      </c>
      <c r="P10" s="14">
        <f t="shared" si="5"/>
        <v>-55000</v>
      </c>
      <c r="Q10" s="14"/>
      <c r="R10" s="14"/>
    </row>
    <row r="11" spans="1:39" hidden="1" x14ac:dyDescent="0.2">
      <c r="B11" s="13" t="s">
        <v>38</v>
      </c>
      <c r="C11" s="14" t="e">
        <f>C4-#REF!</f>
        <v>#REF!</v>
      </c>
      <c r="D11" s="14" t="e">
        <f>D4-#REF!</f>
        <v>#REF!</v>
      </c>
      <c r="E11" s="14" t="e">
        <f>E4-#REF!</f>
        <v>#REF!</v>
      </c>
      <c r="F11" s="14" t="e">
        <f>F4-#REF!</f>
        <v>#REF!</v>
      </c>
      <c r="G11" s="14" t="e">
        <f>G4-#REF!</f>
        <v>#REF!</v>
      </c>
      <c r="H11" s="14" t="e">
        <f>H4-#REF!</f>
        <v>#REF!</v>
      </c>
      <c r="I11" s="14" t="e">
        <f>I4-#REF!</f>
        <v>#REF!</v>
      </c>
      <c r="J11" s="14" t="e">
        <f>J4-#REF!</f>
        <v>#REF!</v>
      </c>
      <c r="K11" s="14" t="e">
        <f>K4-#REF!</f>
        <v>#REF!</v>
      </c>
      <c r="L11" s="14" t="e">
        <f>L4-#REF!</f>
        <v>#REF!</v>
      </c>
      <c r="M11" s="14" t="e">
        <f>M4-#REF!</f>
        <v>#REF!</v>
      </c>
      <c r="N11" s="14" t="e">
        <f>N4-#REF!</f>
        <v>#REF!</v>
      </c>
      <c r="O11" s="14">
        <f t="shared" ref="O11:P14" si="6">O4-C4</f>
        <v>6341.251506598499</v>
      </c>
      <c r="P11" s="14">
        <f t="shared" si="6"/>
        <v>6404.664021664481</v>
      </c>
      <c r="Q11" s="14"/>
      <c r="R11" s="14"/>
    </row>
    <row r="12" spans="1:39" hidden="1" x14ac:dyDescent="0.2">
      <c r="B12" s="13" t="s">
        <v>39</v>
      </c>
      <c r="C12" s="14" t="e">
        <f>C5-#REF!</f>
        <v>#REF!</v>
      </c>
      <c r="D12" s="14" t="e">
        <f>D5-#REF!</f>
        <v>#REF!</v>
      </c>
      <c r="E12" s="14" t="e">
        <f>E5-#REF!</f>
        <v>#REF!</v>
      </c>
      <c r="F12" s="14" t="e">
        <f>F5-#REF!</f>
        <v>#REF!</v>
      </c>
      <c r="G12" s="14" t="e">
        <f>G5-#REF!</f>
        <v>#REF!</v>
      </c>
      <c r="H12" s="14" t="e">
        <f>H5-#REF!</f>
        <v>#REF!</v>
      </c>
      <c r="I12" s="14" t="e">
        <f>I5-#REF!</f>
        <v>#REF!</v>
      </c>
      <c r="J12" s="14" t="e">
        <f>J5-#REF!</f>
        <v>#REF!</v>
      </c>
      <c r="K12" s="14" t="e">
        <f>K5-#REF!</f>
        <v>#REF!</v>
      </c>
      <c r="L12" s="14" t="e">
        <f>L5-#REF!</f>
        <v>#REF!</v>
      </c>
      <c r="M12" s="14" t="e">
        <f>M5-#REF!</f>
        <v>#REF!</v>
      </c>
      <c r="N12" s="14" t="e">
        <f>N5-#REF!</f>
        <v>#REF!</v>
      </c>
      <c r="O12" s="14">
        <f t="shared" si="6"/>
        <v>42576.08868461792</v>
      </c>
      <c r="P12" s="14">
        <f t="shared" si="6"/>
        <v>43853.371345156454</v>
      </c>
      <c r="Q12" s="14"/>
      <c r="R12" s="14"/>
    </row>
    <row r="13" spans="1:39" hidden="1" x14ac:dyDescent="0.2">
      <c r="B13" s="13" t="s">
        <v>40</v>
      </c>
      <c r="C13" s="14" t="e">
        <f>C6-#REF!</f>
        <v>#REF!</v>
      </c>
      <c r="D13" s="14" t="e">
        <f>D6-#REF!</f>
        <v>#REF!</v>
      </c>
      <c r="E13" s="14" t="e">
        <f>E6-#REF!</f>
        <v>#REF!</v>
      </c>
      <c r="F13" s="14" t="e">
        <f>F6-#REF!</f>
        <v>#REF!</v>
      </c>
      <c r="G13" s="14" t="e">
        <f>G6-#REF!</f>
        <v>#REF!</v>
      </c>
      <c r="H13" s="14" t="e">
        <f>H6-#REF!</f>
        <v>#REF!</v>
      </c>
      <c r="I13" s="14" t="e">
        <f>I6-#REF!</f>
        <v>#REF!</v>
      </c>
      <c r="J13" s="14" t="e">
        <f>J6-#REF!</f>
        <v>#REF!</v>
      </c>
      <c r="K13" s="14" t="e">
        <f>K6-#REF!</f>
        <v>#REF!</v>
      </c>
      <c r="L13" s="14" t="e">
        <f>L6-#REF!</f>
        <v>#REF!</v>
      </c>
      <c r="M13" s="14" t="e">
        <f>M6-#REF!</f>
        <v>#REF!</v>
      </c>
      <c r="N13" s="14" t="e">
        <f>N6-#REF!</f>
        <v>#REF!</v>
      </c>
      <c r="O13" s="14">
        <f t="shared" si="6"/>
        <v>0</v>
      </c>
      <c r="P13" s="14">
        <f t="shared" si="6"/>
        <v>0</v>
      </c>
      <c r="Q13" s="14"/>
      <c r="R13" s="14"/>
    </row>
    <row r="14" spans="1:39" hidden="1" x14ac:dyDescent="0.2">
      <c r="B14" s="13" t="s">
        <v>41</v>
      </c>
      <c r="C14" s="14" t="e">
        <f>C7-#REF!</f>
        <v>#REF!</v>
      </c>
      <c r="D14" s="14" t="e">
        <f>D7-#REF!</f>
        <v>#REF!</v>
      </c>
      <c r="E14" s="14" t="e">
        <f>E7-#REF!</f>
        <v>#REF!</v>
      </c>
      <c r="F14" s="14" t="e">
        <f>F7-#REF!</f>
        <v>#REF!</v>
      </c>
      <c r="G14" s="14" t="e">
        <f>G7-#REF!</f>
        <v>#REF!</v>
      </c>
      <c r="H14" s="14" t="e">
        <f>H7-#REF!</f>
        <v>#REF!</v>
      </c>
      <c r="I14" s="14" t="e">
        <f>I7-#REF!</f>
        <v>#REF!</v>
      </c>
      <c r="J14" s="14" t="e">
        <f>J7-#REF!</f>
        <v>#REF!</v>
      </c>
      <c r="K14" s="14" t="e">
        <f>K7-#REF!</f>
        <v>#REF!</v>
      </c>
      <c r="L14" s="14" t="e">
        <f>L7-#REF!</f>
        <v>#REF!</v>
      </c>
      <c r="M14" s="14" t="e">
        <f>M7-#REF!</f>
        <v>#REF!</v>
      </c>
      <c r="N14" s="14" t="e">
        <f>N7-#REF!</f>
        <v>#REF!</v>
      </c>
      <c r="O14" s="14">
        <f t="shared" si="6"/>
        <v>31706.257532992458</v>
      </c>
      <c r="P14" s="14">
        <f t="shared" si="6"/>
        <v>32023.320108322368</v>
      </c>
      <c r="Q14" s="14"/>
      <c r="R14" s="14"/>
    </row>
    <row r="15" spans="1:39" hidden="1" x14ac:dyDescent="0.2">
      <c r="B15" s="13" t="s">
        <v>42</v>
      </c>
      <c r="C15" s="14" t="e">
        <f>C9-#REF!</f>
        <v>#REF!</v>
      </c>
      <c r="D15" s="14" t="e">
        <f>D9-#REF!</f>
        <v>#REF!</v>
      </c>
      <c r="E15" s="14" t="e">
        <f>E9-#REF!</f>
        <v>#REF!</v>
      </c>
      <c r="F15" s="14" t="e">
        <f>F9-#REF!</f>
        <v>#REF!</v>
      </c>
      <c r="G15" s="14" t="e">
        <f>G9-#REF!</f>
        <v>#REF!</v>
      </c>
      <c r="H15" s="14" t="e">
        <f>H9-#REF!</f>
        <v>#REF!</v>
      </c>
      <c r="I15" s="14" t="e">
        <f>I9-#REF!</f>
        <v>#REF!</v>
      </c>
      <c r="J15" s="14" t="e">
        <f>J9-#REF!</f>
        <v>#REF!</v>
      </c>
      <c r="K15" s="14" t="e">
        <f>K9-#REF!</f>
        <v>#REF!</v>
      </c>
      <c r="L15" s="14" t="e">
        <f>L9-#REF!</f>
        <v>#REF!</v>
      </c>
      <c r="M15" s="14" t="e">
        <f>M9-#REF!</f>
        <v>#REF!</v>
      </c>
      <c r="N15" s="14" t="e">
        <f>N9-#REF!</f>
        <v>#REF!</v>
      </c>
      <c r="O15" s="14">
        <f t="shared" ref="O15:P15" si="7">O9-C9</f>
        <v>0</v>
      </c>
      <c r="P15" s="14">
        <f t="shared" si="7"/>
        <v>0</v>
      </c>
      <c r="Q15" s="14"/>
      <c r="R15" s="14"/>
    </row>
    <row r="16" spans="1:39" x14ac:dyDescent="0.2">
      <c r="B16" s="15" t="s">
        <v>43</v>
      </c>
      <c r="C16" s="16">
        <f t="shared" ref="C16:F16" si="8">SUM(C3:C8)</f>
        <v>610000</v>
      </c>
      <c r="D16" s="16">
        <f t="shared" si="8"/>
        <v>618500</v>
      </c>
      <c r="E16" s="16">
        <f t="shared" si="8"/>
        <v>627120</v>
      </c>
      <c r="F16" s="16">
        <f t="shared" si="8"/>
        <v>635863</v>
      </c>
      <c r="G16" s="16">
        <f t="shared" ref="G16:R16" si="9">SUM(G3:G8)</f>
        <v>644732.08400000003</v>
      </c>
      <c r="H16" s="16">
        <f t="shared" si="9"/>
        <v>653730.42246000003</v>
      </c>
      <c r="I16" s="16">
        <f t="shared" si="9"/>
        <v>662861.27483320003</v>
      </c>
      <c r="J16" s="16">
        <f t="shared" si="9"/>
        <v>672127.99217459001</v>
      </c>
      <c r="K16" s="16">
        <f t="shared" si="9"/>
        <v>681534.01982718566</v>
      </c>
      <c r="L16" s="16">
        <f t="shared" si="9"/>
        <v>691082.90018823277</v>
      </c>
      <c r="M16" s="16">
        <f t="shared" si="9"/>
        <v>725778.27555777365</v>
      </c>
      <c r="N16" s="16">
        <f t="shared" si="9"/>
        <v>735623.89107203961</v>
      </c>
      <c r="O16" s="16">
        <f t="shared" si="9"/>
        <v>745623.59772420884</v>
      </c>
      <c r="P16" s="16">
        <f t="shared" si="9"/>
        <v>755781.3554751433</v>
      </c>
      <c r="Q16" s="16">
        <f t="shared" si="9"/>
        <v>766101.23645679792</v>
      </c>
      <c r="R16" s="16">
        <f t="shared" si="9"/>
        <v>776587.42827107606</v>
      </c>
    </row>
    <row r="17" spans="2:18" hidden="1" x14ac:dyDescent="0.2">
      <c r="B17" s="15" t="s">
        <v>44</v>
      </c>
      <c r="C17" s="16" t="e">
        <f>C16-#REF!</f>
        <v>#REF!</v>
      </c>
      <c r="D17" s="16" t="e">
        <f>D16-#REF!</f>
        <v>#REF!</v>
      </c>
      <c r="E17" s="16" t="e">
        <f>E16-#REF!</f>
        <v>#REF!</v>
      </c>
      <c r="F17" s="16" t="e">
        <f>F16-#REF!</f>
        <v>#REF!</v>
      </c>
      <c r="G17" s="16" t="e">
        <f>G16-#REF!</f>
        <v>#REF!</v>
      </c>
      <c r="H17" s="16" t="e">
        <f>H16-#REF!</f>
        <v>#REF!</v>
      </c>
      <c r="I17" s="16" t="e">
        <f>I16-#REF!</f>
        <v>#REF!</v>
      </c>
      <c r="J17" s="16" t="e">
        <f>J16-#REF!</f>
        <v>#REF!</v>
      </c>
      <c r="K17" s="16" t="e">
        <f>K16-#REF!</f>
        <v>#REF!</v>
      </c>
      <c r="L17" s="16" t="e">
        <f>L16-#REF!</f>
        <v>#REF!</v>
      </c>
      <c r="M17" s="16" t="e">
        <f>M16-#REF!</f>
        <v>#REF!</v>
      </c>
      <c r="N17" s="16" t="e">
        <f>N16-#REF!</f>
        <v>#REF!</v>
      </c>
      <c r="O17" s="16">
        <f t="shared" ref="O17:R17" si="10">O16-C16</f>
        <v>135623.59772420884</v>
      </c>
      <c r="P17" s="16">
        <f t="shared" si="10"/>
        <v>137281.3554751433</v>
      </c>
      <c r="Q17" s="16">
        <f t="shared" si="10"/>
        <v>138981.23645679792</v>
      </c>
      <c r="R17" s="16">
        <f t="shared" si="10"/>
        <v>140724.42827107606</v>
      </c>
    </row>
    <row r="18" spans="2:18" ht="15" customHeight="1" x14ac:dyDescent="0.2">
      <c r="B18" s="15" t="s">
        <v>45</v>
      </c>
      <c r="C18" s="17"/>
      <c r="D18" s="17">
        <f t="shared" ref="D18:R18" si="11">(D16-C16)/D16</f>
        <v>1.3742926434923201E-2</v>
      </c>
      <c r="E18" s="17">
        <f t="shared" si="11"/>
        <v>1.3745375685674193E-2</v>
      </c>
      <c r="F18" s="17">
        <f t="shared" si="11"/>
        <v>1.3749817177599577E-2</v>
      </c>
      <c r="G18" s="17">
        <f t="shared" si="11"/>
        <v>1.3756231805582102E-2</v>
      </c>
      <c r="H18" s="17">
        <f t="shared" si="11"/>
        <v>1.3764601050902726E-2</v>
      </c>
      <c r="I18" s="17">
        <f t="shared" si="11"/>
        <v>1.3774906937349231E-2</v>
      </c>
      <c r="J18" s="17">
        <f t="shared" si="11"/>
        <v>1.3787131988668726E-2</v>
      </c>
      <c r="K18" s="17">
        <f t="shared" si="11"/>
        <v>1.3801259187297375E-2</v>
      </c>
      <c r="L18" s="17">
        <f t="shared" si="11"/>
        <v>1.3817271934302301E-2</v>
      </c>
      <c r="M18" s="17">
        <f t="shared" si="11"/>
        <v>4.7804372957948982E-2</v>
      </c>
      <c r="N18" s="17">
        <f t="shared" si="11"/>
        <v>1.338403446891555E-2</v>
      </c>
      <c r="O18" s="17">
        <f t="shared" si="11"/>
        <v>1.3411199273588338E-2</v>
      </c>
      <c r="P18" s="17">
        <f t="shared" si="11"/>
        <v>1.3440074536568177E-2</v>
      </c>
      <c r="Q18" s="17">
        <f t="shared" si="11"/>
        <v>1.3470649165616622E-2</v>
      </c>
      <c r="R18" s="17">
        <f t="shared" si="11"/>
        <v>1.3502912141680742E-2</v>
      </c>
    </row>
    <row r="19" spans="2:18" ht="15" customHeight="1" x14ac:dyDescent="0.2">
      <c r="B19" s="15" t="s">
        <v>46</v>
      </c>
      <c r="C19" s="17">
        <f t="shared" ref="C19:R19" si="12">-C3/SUM(C4:C9)</f>
        <v>0.32085561497326204</v>
      </c>
      <c r="D19" s="17">
        <f t="shared" si="12"/>
        <v>0.31615302869287992</v>
      </c>
      <c r="E19" s="17">
        <f t="shared" si="12"/>
        <v>0.31147056339217838</v>
      </c>
      <c r="F19" s="17">
        <f t="shared" si="12"/>
        <v>0.30680863427676552</v>
      </c>
      <c r="G19" s="17">
        <f t="shared" si="12"/>
        <v>0.302167662032647</v>
      </c>
      <c r="H19" s="17">
        <f t="shared" si="12"/>
        <v>0.29754807271337175</v>
      </c>
      <c r="I19" s="17">
        <f t="shared" si="12"/>
        <v>0.29295029761449193</v>
      </c>
      <c r="J19" s="17">
        <f t="shared" si="12"/>
        <v>0.28837477313495619</v>
      </c>
      <c r="K19" s="17">
        <f t="shared" si="12"/>
        <v>0.28382194062506683</v>
      </c>
      <c r="L19" s="17">
        <f t="shared" si="12"/>
        <v>0.27929224622065058</v>
      </c>
      <c r="M19" s="17">
        <f t="shared" si="12"/>
        <v>0.24980558242100631</v>
      </c>
      <c r="N19" s="17">
        <f t="shared" si="12"/>
        <v>0.24550553973758954</v>
      </c>
      <c r="O19" s="17">
        <f t="shared" si="12"/>
        <v>0.24123110229911121</v>
      </c>
      <c r="P19" s="17">
        <f t="shared" si="12"/>
        <v>0.23698272103022852</v>
      </c>
      <c r="Q19" s="17">
        <f t="shared" si="12"/>
        <v>0.2327608497733149</v>
      </c>
      <c r="R19" s="17">
        <f t="shared" si="12"/>
        <v>0.22856594501886443</v>
      </c>
    </row>
    <row r="20" spans="2:18" ht="15" customHeight="1" x14ac:dyDescent="0.2">
      <c r="B20" s="15" t="s">
        <v>47</v>
      </c>
      <c r="C20" s="17">
        <f t="shared" ref="C20:R20" si="13">C4/C5</f>
        <v>0.5</v>
      </c>
      <c r="D20" s="17">
        <f t="shared" si="13"/>
        <v>0.49029126213592233</v>
      </c>
      <c r="E20" s="17">
        <f t="shared" si="13"/>
        <v>0.48077104345367139</v>
      </c>
      <c r="F20" s="17">
        <f t="shared" si="13"/>
        <v>0.47143568338660985</v>
      </c>
      <c r="G20" s="17">
        <f t="shared" si="13"/>
        <v>0.46228159244706407</v>
      </c>
      <c r="H20" s="17">
        <f t="shared" si="13"/>
        <v>0.4533052508461502</v>
      </c>
      <c r="I20" s="17">
        <f t="shared" si="13"/>
        <v>0.4445032071403997</v>
      </c>
      <c r="J20" s="17">
        <f t="shared" si="13"/>
        <v>0.43587207690466379</v>
      </c>
      <c r="K20" s="17">
        <f t="shared" si="13"/>
        <v>0.42740854143078683</v>
      </c>
      <c r="L20" s="17">
        <f t="shared" si="13"/>
        <v>0.41910934645154824</v>
      </c>
      <c r="M20" s="17">
        <f t="shared" si="13"/>
        <v>0.41097130088938227</v>
      </c>
      <c r="N20" s="17">
        <f t="shared" si="13"/>
        <v>0.40299127562939424</v>
      </c>
      <c r="O20" s="17">
        <f t="shared" si="13"/>
        <v>0.39516620231620209</v>
      </c>
      <c r="P20" s="17">
        <f t="shared" si="13"/>
        <v>0.38749307217413992</v>
      </c>
      <c r="Q20" s="17">
        <f t="shared" si="13"/>
        <v>0.3799689348503702</v>
      </c>
      <c r="R20" s="17">
        <f t="shared" si="13"/>
        <v>0.37259089728046008</v>
      </c>
    </row>
    <row r="21" spans="2:18" x14ac:dyDescent="0.2">
      <c r="B21" s="15"/>
    </row>
  </sheetData>
  <pageMargins left="0.7" right="0.7" top="0.75" bottom="0.75" header="0.3" footer="0.3"/>
  <pageSetup orientation="portrait" useFirstPageNumber="1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B2:G17"/>
  <sheetViews>
    <sheetView zoomScaleNormal="100" workbookViewId="0">
      <selection activeCell="I26" sqref="I26"/>
    </sheetView>
  </sheetViews>
  <sheetFormatPr baseColWidth="10" defaultColWidth="10.83203125" defaultRowHeight="16" customHeight="1" x14ac:dyDescent="0.2"/>
  <cols>
    <col min="1" max="1" width="10.83203125" style="1" customWidth="1"/>
    <col min="2" max="2" width="24" style="1" customWidth="1"/>
    <col min="3" max="3" width="26" style="1" customWidth="1"/>
    <col min="4" max="4" width="14" style="1" customWidth="1"/>
    <col min="5" max="6" width="10.83203125" style="1" customWidth="1"/>
    <col min="7" max="7" width="12.5" style="1" customWidth="1"/>
    <col min="8" max="8" width="10.83203125" style="1" customWidth="1"/>
    <col min="9" max="16384" width="10.83203125" style="1"/>
  </cols>
  <sheetData>
    <row r="2" spans="2:7" ht="16" customHeight="1" x14ac:dyDescent="0.2">
      <c r="B2" s="1" t="s">
        <v>48</v>
      </c>
      <c r="C2" s="1" t="s">
        <v>49</v>
      </c>
      <c r="D2" s="1" t="s">
        <v>50</v>
      </c>
      <c r="F2" s="1" t="s">
        <v>51</v>
      </c>
      <c r="G2" s="18">
        <v>100000</v>
      </c>
    </row>
    <row r="3" spans="2:7" ht="16" customHeight="1" x14ac:dyDescent="0.2">
      <c r="B3" s="1" t="s">
        <v>52</v>
      </c>
      <c r="C3" s="1" t="s">
        <v>53</v>
      </c>
      <c r="D3" s="19">
        <v>20000</v>
      </c>
      <c r="F3" s="1" t="s">
        <v>54</v>
      </c>
      <c r="G3" s="18">
        <v>25000</v>
      </c>
    </row>
    <row r="4" spans="2:7" ht="16" customHeight="1" x14ac:dyDescent="0.2">
      <c r="B4" s="1" t="s">
        <v>55</v>
      </c>
      <c r="C4" s="1" t="s">
        <v>56</v>
      </c>
      <c r="D4" s="19">
        <v>10000</v>
      </c>
      <c r="F4" s="1" t="s">
        <v>32</v>
      </c>
      <c r="G4" s="18">
        <v>2500</v>
      </c>
    </row>
    <row r="5" spans="2:7" ht="16" customHeight="1" x14ac:dyDescent="0.2">
      <c r="B5" s="1" t="s">
        <v>51</v>
      </c>
      <c r="C5" s="1" t="s">
        <v>57</v>
      </c>
      <c r="D5" s="19">
        <f>(G4+2000)*12</f>
        <v>54000</v>
      </c>
      <c r="F5" s="1" t="s">
        <v>58</v>
      </c>
      <c r="G5" s="1">
        <v>2</v>
      </c>
    </row>
    <row r="6" spans="2:7" ht="16" customHeight="1" x14ac:dyDescent="0.2">
      <c r="B6" s="1" t="s">
        <v>51</v>
      </c>
      <c r="C6" s="1" t="s">
        <v>53</v>
      </c>
      <c r="D6" s="19">
        <v>5000</v>
      </c>
    </row>
    <row r="7" spans="2:7" ht="16" customHeight="1" x14ac:dyDescent="0.2">
      <c r="B7" s="1" t="s">
        <v>51</v>
      </c>
      <c r="C7" s="1" t="s">
        <v>59</v>
      </c>
      <c r="D7" s="19">
        <f>G2-SUM(D5:D6)</f>
        <v>41000</v>
      </c>
    </row>
    <row r="8" spans="2:7" ht="16" customHeight="1" x14ac:dyDescent="0.2">
      <c r="B8" s="1" t="s">
        <v>59</v>
      </c>
      <c r="C8" s="1" t="s">
        <v>60</v>
      </c>
      <c r="D8" s="19">
        <f>(250*G5)*12</f>
        <v>6000</v>
      </c>
    </row>
    <row r="9" spans="2:7" ht="16" customHeight="1" x14ac:dyDescent="0.2">
      <c r="B9" s="1" t="s">
        <v>59</v>
      </c>
      <c r="C9" s="1" t="s">
        <v>61</v>
      </c>
      <c r="D9" s="19">
        <v>10000</v>
      </c>
    </row>
    <row r="10" spans="2:7" ht="16" customHeight="1" x14ac:dyDescent="0.2">
      <c r="B10" s="1" t="s">
        <v>59</v>
      </c>
      <c r="C10" s="1" t="s">
        <v>62</v>
      </c>
      <c r="D10" s="19">
        <v>12000</v>
      </c>
    </row>
    <row r="11" spans="2:7" ht="16" customHeight="1" x14ac:dyDescent="0.2">
      <c r="B11" s="1" t="s">
        <v>59</v>
      </c>
      <c r="C11" s="1" t="s">
        <v>56</v>
      </c>
      <c r="D11" s="19">
        <f>D7-SUM(D8:D10,D12)</f>
        <v>8000</v>
      </c>
    </row>
    <row r="12" spans="2:7" ht="16" customHeight="1" x14ac:dyDescent="0.2">
      <c r="B12" s="1" t="s">
        <v>59</v>
      </c>
      <c r="C12" s="1" t="s">
        <v>63</v>
      </c>
      <c r="D12" s="1">
        <v>5000</v>
      </c>
    </row>
    <row r="14" spans="2:7" ht="16" customHeight="1" x14ac:dyDescent="0.2">
      <c r="D14" s="19"/>
    </row>
    <row r="15" spans="2:7" ht="16" customHeight="1" x14ac:dyDescent="0.2">
      <c r="D15" s="19"/>
    </row>
    <row r="16" spans="2:7" ht="16" customHeight="1" x14ac:dyDescent="0.2">
      <c r="D16" s="19"/>
    </row>
    <row r="17" spans="4:4" ht="16" customHeight="1" x14ac:dyDescent="0.2">
      <c r="D17" s="19"/>
    </row>
  </sheetData>
  <pageMargins left="0.75" right="0.75" top="1" bottom="1" header="0.5" footer="0.5"/>
  <pageSetup orientation="portrait" useFirstPageNumber="1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B2:G18"/>
  <sheetViews>
    <sheetView zoomScaleNormal="100" workbookViewId="0">
      <selection activeCell="H16" sqref="H16"/>
    </sheetView>
  </sheetViews>
  <sheetFormatPr baseColWidth="10" defaultColWidth="10.83203125" defaultRowHeight="16" customHeight="1" x14ac:dyDescent="0.2"/>
  <cols>
    <col min="1" max="1" width="10.83203125" style="1" customWidth="1"/>
    <col min="2" max="2" width="24" style="1" customWidth="1"/>
    <col min="3" max="3" width="26" style="1" customWidth="1"/>
    <col min="4" max="4" width="14" style="1" customWidth="1"/>
    <col min="5" max="6" width="10.83203125" style="1" customWidth="1"/>
    <col min="7" max="7" width="12.5" style="1" customWidth="1"/>
    <col min="8" max="8" width="10.83203125" style="1" customWidth="1"/>
    <col min="9" max="16384" width="10.83203125" style="1"/>
  </cols>
  <sheetData>
    <row r="2" spans="2:7" ht="16" customHeight="1" x14ac:dyDescent="0.2">
      <c r="B2" s="1" t="s">
        <v>48</v>
      </c>
      <c r="C2" s="1" t="s">
        <v>49</v>
      </c>
      <c r="D2" s="1" t="s">
        <v>50</v>
      </c>
      <c r="F2" s="1" t="s">
        <v>51</v>
      </c>
      <c r="G2" s="18">
        <v>200000</v>
      </c>
    </row>
    <row r="3" spans="2:7" ht="16" customHeight="1" x14ac:dyDescent="0.2">
      <c r="B3" s="1" t="s">
        <v>52</v>
      </c>
      <c r="C3" s="1" t="s">
        <v>53</v>
      </c>
      <c r="D3" s="19">
        <v>20000</v>
      </c>
      <c r="F3" s="1" t="s">
        <v>54</v>
      </c>
      <c r="G3" s="18">
        <v>25000</v>
      </c>
    </row>
    <row r="4" spans="2:7" ht="16" customHeight="1" x14ac:dyDescent="0.2">
      <c r="B4" s="1" t="s">
        <v>55</v>
      </c>
      <c r="C4" s="1" t="s">
        <v>56</v>
      </c>
      <c r="D4" s="19">
        <v>10000</v>
      </c>
      <c r="F4" s="1" t="s">
        <v>32</v>
      </c>
      <c r="G4" s="18">
        <v>2500</v>
      </c>
    </row>
    <row r="5" spans="2:7" ht="16" customHeight="1" x14ac:dyDescent="0.2">
      <c r="B5" s="1" t="s">
        <v>51</v>
      </c>
      <c r="C5" s="1" t="s">
        <v>57</v>
      </c>
      <c r="D5" s="19">
        <f>(G4+2000)*12</f>
        <v>54000</v>
      </c>
      <c r="F5" s="1" t="s">
        <v>58</v>
      </c>
      <c r="G5" s="1">
        <v>2</v>
      </c>
    </row>
    <row r="6" spans="2:7" ht="16" customHeight="1" x14ac:dyDescent="0.2">
      <c r="B6" s="1" t="s">
        <v>51</v>
      </c>
      <c r="C6" s="1" t="s">
        <v>53</v>
      </c>
      <c r="D6" s="19">
        <v>5000</v>
      </c>
    </row>
    <row r="7" spans="2:7" ht="16" customHeight="1" x14ac:dyDescent="0.2">
      <c r="B7" s="1" t="s">
        <v>51</v>
      </c>
      <c r="C7" s="1" t="s">
        <v>59</v>
      </c>
      <c r="D7" s="19">
        <f>G2-SUM(D5:D6)</f>
        <v>141000</v>
      </c>
    </row>
    <row r="8" spans="2:7" ht="16" customHeight="1" x14ac:dyDescent="0.2">
      <c r="B8" s="1" t="s">
        <v>59</v>
      </c>
      <c r="C8" s="1" t="s">
        <v>60</v>
      </c>
      <c r="D8" s="19">
        <f>(250*G5)*12</f>
        <v>6000</v>
      </c>
    </row>
    <row r="9" spans="2:7" ht="16" customHeight="1" x14ac:dyDescent="0.2">
      <c r="B9" s="1" t="s">
        <v>59</v>
      </c>
      <c r="C9" s="1" t="s">
        <v>61</v>
      </c>
      <c r="D9" s="19">
        <v>10000</v>
      </c>
    </row>
    <row r="10" spans="2:7" ht="16" customHeight="1" x14ac:dyDescent="0.2">
      <c r="B10" s="1" t="s">
        <v>59</v>
      </c>
      <c r="C10" s="1" t="s">
        <v>62</v>
      </c>
      <c r="D10" s="19">
        <v>12000</v>
      </c>
    </row>
    <row r="11" spans="2:7" ht="16" customHeight="1" x14ac:dyDescent="0.2">
      <c r="B11" s="1" t="s">
        <v>59</v>
      </c>
      <c r="C11" s="1" t="s">
        <v>56</v>
      </c>
      <c r="D11" s="19">
        <f>D7-SUM(D8:D10,D12)</f>
        <v>108000</v>
      </c>
    </row>
    <row r="12" spans="2:7" ht="16" customHeight="1" x14ac:dyDescent="0.2">
      <c r="B12" s="1" t="s">
        <v>59</v>
      </c>
      <c r="C12" s="1" t="s">
        <v>63</v>
      </c>
      <c r="D12" s="1">
        <v>5000</v>
      </c>
    </row>
    <row r="15" spans="2:7" ht="16" customHeight="1" x14ac:dyDescent="0.2">
      <c r="D15" s="19"/>
    </row>
    <row r="16" spans="2:7" ht="16" customHeight="1" x14ac:dyDescent="0.2">
      <c r="D16" s="19"/>
    </row>
    <row r="17" spans="4:4" ht="16" customHeight="1" x14ac:dyDescent="0.2">
      <c r="D17" s="19"/>
    </row>
    <row r="18" spans="4:4" ht="16" customHeight="1" x14ac:dyDescent="0.2">
      <c r="D18" s="19"/>
    </row>
  </sheetData>
  <pageMargins left="0.75" right="0.75" top="1" bottom="1" header="0.5" footer="0.5"/>
  <pageSetup orientation="portrait" useFirstPageNumber="1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B2:C7"/>
  <sheetViews>
    <sheetView zoomScaleNormal="100" workbookViewId="0">
      <selection activeCell="K21" sqref="K21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18" customWidth="1"/>
  </cols>
  <sheetData>
    <row r="2" spans="2:3" x14ac:dyDescent="0.2">
      <c r="B2" t="s">
        <v>64</v>
      </c>
      <c r="C2" t="s">
        <v>65</v>
      </c>
    </row>
    <row r="3" spans="2:3" x14ac:dyDescent="0.2">
      <c r="B3" t="s">
        <v>66</v>
      </c>
      <c r="C3" s="20">
        <v>400000</v>
      </c>
    </row>
    <row r="4" spans="2:3" x14ac:dyDescent="0.2">
      <c r="B4" t="s">
        <v>67</v>
      </c>
      <c r="C4" s="21">
        <v>45139</v>
      </c>
    </row>
    <row r="5" spans="2:3" x14ac:dyDescent="0.2">
      <c r="B5" t="s">
        <v>68</v>
      </c>
      <c r="C5">
        <v>30</v>
      </c>
    </row>
    <row r="6" spans="2:3" x14ac:dyDescent="0.2">
      <c r="B6" t="s">
        <v>69</v>
      </c>
      <c r="C6" s="17">
        <v>0.06</v>
      </c>
    </row>
    <row r="7" spans="2:3" x14ac:dyDescent="0.2">
      <c r="B7" t="s">
        <v>70</v>
      </c>
      <c r="C7" s="22">
        <f>PMT(C6/12,C5*12,C3)</f>
        <v>-2398.2021006110094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B1:EY8"/>
  <sheetViews>
    <sheetView zoomScaleNormal="100" workbookViewId="0">
      <selection activeCell="F4" sqref="F4"/>
    </sheetView>
  </sheetViews>
  <sheetFormatPr baseColWidth="10" defaultColWidth="8.83203125" defaultRowHeight="15" x14ac:dyDescent="0.2"/>
  <cols>
    <col min="2" max="2" width="5.33203125" customWidth="1"/>
    <col min="3" max="4" width="14.1640625" customWidth="1"/>
    <col min="5" max="5" width="15.6640625" customWidth="1"/>
    <col min="6" max="6" width="17.83203125" customWidth="1"/>
    <col min="49" max="52" width="6.83203125" customWidth="1"/>
    <col min="53" max="53" width="20.6640625" customWidth="1"/>
    <col min="54" max="54" width="6.83203125" customWidth="1"/>
    <col min="55" max="57" width="7.83203125" customWidth="1"/>
    <col min="58" max="66" width="6.83203125" customWidth="1"/>
    <col min="67" max="68" width="7.83203125" customWidth="1"/>
    <col min="69" max="69" width="28.1640625" customWidth="1"/>
    <col min="70" max="78" width="6.83203125" customWidth="1"/>
    <col min="79" max="81" width="7.83203125" customWidth="1"/>
    <col min="82" max="90" width="6.83203125" customWidth="1"/>
    <col min="91" max="92" width="7.83203125" customWidth="1"/>
    <col min="93" max="93" width="15.33203125" customWidth="1"/>
    <col min="94" max="102" width="6.83203125" customWidth="1"/>
    <col min="103" max="105" width="7.83203125" customWidth="1"/>
    <col min="106" max="112" width="6.83203125" customWidth="1"/>
    <col min="113" max="113" width="15.5" customWidth="1"/>
    <col min="114" max="114" width="6.83203125" customWidth="1"/>
    <col min="115" max="117" width="7.83203125" customWidth="1"/>
    <col min="118" max="126" width="6.83203125" customWidth="1"/>
    <col min="127" max="129" width="7.83203125" customWidth="1"/>
    <col min="130" max="138" width="6.83203125" customWidth="1"/>
    <col min="139" max="141" width="7.83203125" customWidth="1"/>
    <col min="142" max="150" width="6.83203125" customWidth="1"/>
    <col min="151" max="153" width="7.83203125" customWidth="1"/>
    <col min="154" max="154" width="15.6640625" customWidth="1"/>
    <col min="155" max="155" width="6.83203125" customWidth="1"/>
  </cols>
  <sheetData>
    <row r="1" spans="2:155" x14ac:dyDescent="0.2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 t="s">
        <v>71</v>
      </c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 t="s">
        <v>72</v>
      </c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 t="s">
        <v>73</v>
      </c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 t="s">
        <v>74</v>
      </c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 t="s">
        <v>75</v>
      </c>
      <c r="EY1" s="23"/>
    </row>
    <row r="2" spans="2:155" x14ac:dyDescent="0.2">
      <c r="B2" s="24" t="s">
        <v>76</v>
      </c>
      <c r="C2" s="24" t="s">
        <v>77</v>
      </c>
      <c r="D2" s="24" t="s">
        <v>78</v>
      </c>
      <c r="E2" s="24" t="s">
        <v>79</v>
      </c>
      <c r="F2" s="24" t="s">
        <v>80</v>
      </c>
      <c r="G2" s="25">
        <v>43831</v>
      </c>
      <c r="H2" s="25">
        <v>44197</v>
      </c>
      <c r="I2" s="25">
        <v>44562</v>
      </c>
      <c r="J2" s="25">
        <v>44927</v>
      </c>
      <c r="K2" s="25">
        <v>44958</v>
      </c>
      <c r="L2" s="25">
        <v>44986</v>
      </c>
      <c r="M2" s="25">
        <v>45017</v>
      </c>
      <c r="N2" s="25">
        <v>45047</v>
      </c>
      <c r="O2" s="25">
        <v>45078</v>
      </c>
      <c r="P2" s="25">
        <v>45108</v>
      </c>
      <c r="Q2" s="25">
        <v>45139</v>
      </c>
      <c r="R2" s="25">
        <v>45170</v>
      </c>
      <c r="S2" s="25">
        <v>45200</v>
      </c>
      <c r="T2" s="25">
        <v>45231</v>
      </c>
      <c r="U2" s="25">
        <v>45261</v>
      </c>
      <c r="V2" s="25">
        <v>45292</v>
      </c>
      <c r="W2" s="25">
        <v>45323</v>
      </c>
      <c r="X2" s="25">
        <v>45352</v>
      </c>
      <c r="Y2" s="25">
        <v>45383</v>
      </c>
      <c r="Z2" s="25">
        <v>45413</v>
      </c>
      <c r="AA2" s="25">
        <v>45444</v>
      </c>
      <c r="AB2" s="25">
        <v>45474</v>
      </c>
      <c r="AC2" s="25">
        <v>45505</v>
      </c>
      <c r="AD2" s="25">
        <v>45536</v>
      </c>
      <c r="AE2" s="25">
        <v>45566</v>
      </c>
      <c r="AF2" s="25">
        <v>45597</v>
      </c>
      <c r="AG2" s="25">
        <v>45627</v>
      </c>
      <c r="AH2" s="25">
        <v>45658</v>
      </c>
      <c r="AI2" s="25">
        <v>45689</v>
      </c>
      <c r="AJ2" s="25">
        <v>45717</v>
      </c>
      <c r="AK2" s="25">
        <v>45748</v>
      </c>
      <c r="AL2" s="25">
        <v>45778</v>
      </c>
      <c r="AM2" s="25">
        <v>45809</v>
      </c>
      <c r="AN2" s="25">
        <v>45839</v>
      </c>
      <c r="AO2" s="25">
        <v>45870</v>
      </c>
      <c r="AP2" s="25">
        <v>45901</v>
      </c>
      <c r="AQ2" s="25">
        <v>45931</v>
      </c>
      <c r="AR2" s="25">
        <v>45962</v>
      </c>
      <c r="AS2" s="25">
        <v>45992</v>
      </c>
      <c r="AT2" s="25">
        <v>46023</v>
      </c>
      <c r="AU2" s="25">
        <v>46054</v>
      </c>
      <c r="AV2" s="25">
        <v>46082</v>
      </c>
      <c r="AW2" s="25">
        <v>46113</v>
      </c>
      <c r="AX2" s="25">
        <v>46143</v>
      </c>
      <c r="AY2" s="25">
        <v>46174</v>
      </c>
      <c r="AZ2" s="25">
        <v>46204</v>
      </c>
      <c r="BA2" s="25">
        <v>46235</v>
      </c>
      <c r="BB2" s="25">
        <v>46266</v>
      </c>
      <c r="BC2" s="25">
        <v>46296</v>
      </c>
      <c r="BD2" s="25">
        <v>46327</v>
      </c>
      <c r="BE2" s="25">
        <v>46357</v>
      </c>
      <c r="BF2" s="25">
        <v>46388</v>
      </c>
      <c r="BG2" s="25">
        <v>46419</v>
      </c>
      <c r="BH2" s="25">
        <v>46447</v>
      </c>
      <c r="BI2" s="25">
        <v>46478</v>
      </c>
      <c r="BJ2" s="25">
        <v>46508</v>
      </c>
      <c r="BK2" s="25">
        <v>46539</v>
      </c>
      <c r="BL2" s="25">
        <v>46569</v>
      </c>
      <c r="BM2" s="25">
        <v>46600</v>
      </c>
      <c r="BN2" s="25">
        <v>46631</v>
      </c>
      <c r="BO2" s="25">
        <v>46661</v>
      </c>
      <c r="BP2" s="25">
        <v>46692</v>
      </c>
      <c r="BQ2" s="25">
        <v>46722</v>
      </c>
      <c r="BR2" s="25">
        <v>46753</v>
      </c>
      <c r="BS2" s="25">
        <v>46784</v>
      </c>
      <c r="BT2" s="25">
        <v>46813</v>
      </c>
      <c r="BU2" s="25">
        <v>46844</v>
      </c>
      <c r="BV2" s="25">
        <v>46874</v>
      </c>
      <c r="BW2" s="25">
        <v>46905</v>
      </c>
      <c r="BX2" s="25">
        <v>46935</v>
      </c>
      <c r="BY2" s="25">
        <v>46966</v>
      </c>
      <c r="BZ2" s="25">
        <v>46997</v>
      </c>
      <c r="CA2" s="25">
        <v>47027</v>
      </c>
      <c r="CB2" s="25">
        <v>47058</v>
      </c>
      <c r="CC2" s="25">
        <v>47088</v>
      </c>
      <c r="CD2" s="25">
        <v>47119</v>
      </c>
      <c r="CE2" s="25">
        <v>47150</v>
      </c>
      <c r="CF2" s="25">
        <v>47178</v>
      </c>
      <c r="CG2" s="25">
        <v>47209</v>
      </c>
      <c r="CH2" s="25">
        <v>47239</v>
      </c>
      <c r="CI2" s="25">
        <v>47270</v>
      </c>
      <c r="CJ2" s="25">
        <v>47300</v>
      </c>
      <c r="CK2" s="25">
        <v>47331</v>
      </c>
      <c r="CL2" s="25">
        <v>47362</v>
      </c>
      <c r="CM2" s="25">
        <v>47392</v>
      </c>
      <c r="CN2" s="25">
        <v>47423</v>
      </c>
      <c r="CO2" s="25">
        <v>47453</v>
      </c>
      <c r="CP2" s="25">
        <v>10959</v>
      </c>
      <c r="CQ2" s="25">
        <v>10990</v>
      </c>
      <c r="CR2" s="25">
        <v>11018</v>
      </c>
      <c r="CS2" s="25">
        <v>11049</v>
      </c>
      <c r="CT2" s="25">
        <v>11079</v>
      </c>
      <c r="CU2" s="25">
        <v>11110</v>
      </c>
      <c r="CV2" s="25">
        <v>11140</v>
      </c>
      <c r="CW2" s="25">
        <v>11171</v>
      </c>
      <c r="CX2" s="25">
        <v>11202</v>
      </c>
      <c r="CY2" s="25">
        <v>11232</v>
      </c>
      <c r="CZ2" s="25">
        <v>11263</v>
      </c>
      <c r="DA2" s="25">
        <v>11293</v>
      </c>
      <c r="DB2" s="25">
        <v>11324</v>
      </c>
      <c r="DC2" s="25">
        <v>11355</v>
      </c>
      <c r="DD2" s="25">
        <v>11383</v>
      </c>
      <c r="DE2" s="25">
        <v>11414</v>
      </c>
      <c r="DF2" s="25">
        <v>11444</v>
      </c>
      <c r="DG2" s="25">
        <v>11475</v>
      </c>
      <c r="DH2" s="25">
        <v>11505</v>
      </c>
      <c r="DI2" s="25">
        <v>11536</v>
      </c>
      <c r="DJ2" s="25">
        <v>11567</v>
      </c>
      <c r="DK2" s="25">
        <v>11597</v>
      </c>
      <c r="DL2" s="25">
        <v>11628</v>
      </c>
      <c r="DM2" s="25">
        <v>11658</v>
      </c>
      <c r="DN2" s="25">
        <v>11689</v>
      </c>
      <c r="DO2" s="25">
        <v>11720</v>
      </c>
      <c r="DP2" s="25">
        <v>11749</v>
      </c>
      <c r="DQ2" s="25">
        <v>11780</v>
      </c>
      <c r="DR2" s="25">
        <v>11810</v>
      </c>
      <c r="DS2" s="25">
        <v>11841</v>
      </c>
      <c r="DT2" s="25">
        <v>11871</v>
      </c>
      <c r="DU2" s="25">
        <v>11902</v>
      </c>
      <c r="DV2" s="25">
        <v>11933</v>
      </c>
      <c r="DW2" s="25">
        <v>11963</v>
      </c>
      <c r="DX2" s="25">
        <v>11994</v>
      </c>
      <c r="DY2" s="25">
        <v>12024</v>
      </c>
      <c r="DZ2" s="25">
        <v>12055</v>
      </c>
      <c r="EA2" s="25">
        <v>12086</v>
      </c>
      <c r="EB2" s="25">
        <v>12114</v>
      </c>
      <c r="EC2" s="25">
        <v>12145</v>
      </c>
      <c r="ED2" s="25">
        <v>12175</v>
      </c>
      <c r="EE2" s="25">
        <v>12206</v>
      </c>
      <c r="EF2" s="25">
        <v>12236</v>
      </c>
      <c r="EG2" s="25">
        <v>12267</v>
      </c>
      <c r="EH2" s="25">
        <v>12298</v>
      </c>
      <c r="EI2" s="25">
        <v>12328</v>
      </c>
      <c r="EJ2" s="25">
        <v>12359</v>
      </c>
      <c r="EK2" s="25">
        <v>12389</v>
      </c>
      <c r="EL2" s="25">
        <v>12420</v>
      </c>
      <c r="EM2" s="25">
        <v>12451</v>
      </c>
      <c r="EN2" s="25">
        <v>12479</v>
      </c>
      <c r="EO2" s="25">
        <v>12510</v>
      </c>
      <c r="EP2" s="25">
        <v>12540</v>
      </c>
      <c r="EQ2" s="25">
        <v>12571</v>
      </c>
      <c r="ER2" s="25">
        <v>12601</v>
      </c>
      <c r="ES2" s="25">
        <v>12632</v>
      </c>
      <c r="ET2" s="25">
        <v>12663</v>
      </c>
      <c r="EU2" s="25">
        <v>12693</v>
      </c>
      <c r="EV2" s="25">
        <v>12724</v>
      </c>
      <c r="EW2" s="25">
        <v>12754</v>
      </c>
      <c r="EX2" s="25">
        <v>12785</v>
      </c>
      <c r="EY2" s="25">
        <v>12816</v>
      </c>
    </row>
    <row r="3" spans="2:155" x14ac:dyDescent="0.2">
      <c r="B3" s="23" t="s">
        <v>81</v>
      </c>
      <c r="C3" s="26">
        <v>25000</v>
      </c>
      <c r="D3" s="26">
        <f>C3*4</f>
        <v>100000</v>
      </c>
      <c r="E3" s="27">
        <v>49536</v>
      </c>
      <c r="F3" s="26">
        <v>350</v>
      </c>
      <c r="G3" s="28">
        <v>20000</v>
      </c>
      <c r="H3" s="28">
        <f ca="1">G3+G3*(RAND()*(0.15--0.15)+-0.15)/12+$F3</f>
        <v>20231.232939914389</v>
      </c>
      <c r="I3" s="28">
        <f t="shared" ref="I3:AV3" ca="1" si="0">H3+H3*(RAND()*(0.15--0.15)+-0.15)/12+$F3</f>
        <v>20555.057481331289</v>
      </c>
      <c r="J3" s="28">
        <f t="shared" ca="1" si="0"/>
        <v>20989.426590237585</v>
      </c>
      <c r="K3" s="28">
        <f t="shared" ca="1" si="0"/>
        <v>21579.737304003873</v>
      </c>
      <c r="L3" s="28">
        <f t="shared" ca="1" si="0"/>
        <v>22067.353255405822</v>
      </c>
      <c r="M3" s="28">
        <f t="shared" ca="1" si="0"/>
        <v>22174.276581215901</v>
      </c>
      <c r="N3" s="28">
        <f t="shared" ca="1" si="0"/>
        <v>22751.120033657997</v>
      </c>
      <c r="O3" s="28">
        <f t="shared" ca="1" si="0"/>
        <v>22873.910286485661</v>
      </c>
      <c r="P3" s="28">
        <f t="shared" ca="1" si="0"/>
        <v>23112.657821032044</v>
      </c>
      <c r="Q3" s="28">
        <f t="shared" ca="1" si="0"/>
        <v>23425.961712767774</v>
      </c>
      <c r="R3" s="28">
        <f t="shared" ca="1" si="0"/>
        <v>23704.574184583817</v>
      </c>
      <c r="S3" s="28">
        <f t="shared" ca="1" si="0"/>
        <v>24242.432172853398</v>
      </c>
      <c r="T3" s="28">
        <f t="shared" ca="1" si="0"/>
        <v>24847.797248368628</v>
      </c>
      <c r="U3" s="28">
        <f t="shared" ca="1" si="0"/>
        <v>24890.674755451138</v>
      </c>
      <c r="V3" s="28">
        <f t="shared" ca="1" si="0"/>
        <v>25433.775703222342</v>
      </c>
      <c r="W3" s="28">
        <f t="shared" ca="1" si="0"/>
        <v>25654.309207872928</v>
      </c>
      <c r="X3" s="28">
        <f t="shared" ca="1" si="0"/>
        <v>25756.020720201344</v>
      </c>
      <c r="Y3" s="28">
        <f t="shared" ca="1" si="0"/>
        <v>25791.643941499322</v>
      </c>
      <c r="Z3" s="28">
        <f t="shared" ca="1" si="0"/>
        <v>26039.339378446373</v>
      </c>
      <c r="AA3" s="28">
        <f t="shared" ca="1" si="0"/>
        <v>26274.896405342042</v>
      </c>
      <c r="AB3" s="28">
        <f t="shared" ca="1" si="0"/>
        <v>26671.480832586956</v>
      </c>
      <c r="AC3" s="28">
        <f t="shared" ca="1" si="0"/>
        <v>27019.090800162954</v>
      </c>
      <c r="AD3" s="28">
        <f t="shared" ca="1" si="0"/>
        <v>27203.799608718666</v>
      </c>
      <c r="AE3" s="28">
        <f t="shared" ca="1" si="0"/>
        <v>27703.01655994988</v>
      </c>
      <c r="AF3" s="28">
        <f t="shared" ca="1" si="0"/>
        <v>28279.391748369177</v>
      </c>
      <c r="AG3" s="28">
        <f t="shared" ca="1" si="0"/>
        <v>28631.239669459173</v>
      </c>
      <c r="AH3" s="28">
        <f t="shared" ca="1" si="0"/>
        <v>28831.577101433166</v>
      </c>
      <c r="AI3" s="28">
        <f t="shared" ca="1" si="0"/>
        <v>29449.8177450492</v>
      </c>
      <c r="AJ3" s="28">
        <f t="shared" ca="1" si="0"/>
        <v>29932.683166563445</v>
      </c>
      <c r="AK3" s="28">
        <f t="shared" ca="1" si="0"/>
        <v>30215.869346386713</v>
      </c>
      <c r="AL3" s="28">
        <f t="shared" ca="1" si="0"/>
        <v>30708.480329995207</v>
      </c>
      <c r="AM3" s="28">
        <f t="shared" ca="1" si="0"/>
        <v>30900.961969409171</v>
      </c>
      <c r="AN3" s="28">
        <f t="shared" ca="1" si="0"/>
        <v>31128.93395875983</v>
      </c>
      <c r="AO3" s="28">
        <f t="shared" ca="1" si="0"/>
        <v>31457.885421809089</v>
      </c>
      <c r="AP3" s="28">
        <f t="shared" ca="1" si="0"/>
        <v>32072.505135554649</v>
      </c>
      <c r="AQ3" s="28">
        <f t="shared" ca="1" si="0"/>
        <v>32099.039519708316</v>
      </c>
      <c r="AR3" s="28">
        <f t="shared" ca="1" si="0"/>
        <v>32648.606750619449</v>
      </c>
      <c r="AS3" s="28">
        <f t="shared" ca="1" si="0"/>
        <v>33340.077509839117</v>
      </c>
      <c r="AT3" s="28">
        <f t="shared" ca="1" si="0"/>
        <v>34016.994341575701</v>
      </c>
      <c r="AU3" s="28">
        <f t="shared" ca="1" si="0"/>
        <v>34448.676882140804</v>
      </c>
      <c r="AV3" s="28">
        <f t="shared" ca="1" si="0"/>
        <v>34842.536442094162</v>
      </c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</row>
    <row r="4" spans="2:155" x14ac:dyDescent="0.2">
      <c r="B4" s="23" t="s">
        <v>82</v>
      </c>
      <c r="C4" s="26">
        <v>30000</v>
      </c>
      <c r="D4" s="26">
        <f>C4*4</f>
        <v>120000</v>
      </c>
      <c r="E4" s="27">
        <v>50632</v>
      </c>
      <c r="F4" s="26">
        <v>150</v>
      </c>
      <c r="G4" s="28">
        <v>15000</v>
      </c>
      <c r="H4" s="28">
        <f t="shared" ref="H4:AV4" ca="1" si="1">G4+G4*(RAND()*(0.15--0.15)+-0.15)/12+$F4</f>
        <v>15109.203811827652</v>
      </c>
      <c r="I4" s="28">
        <f t="shared" ca="1" si="1"/>
        <v>15279.559309957722</v>
      </c>
      <c r="J4" s="28">
        <f t="shared" ca="1" si="1"/>
        <v>15517.787338173641</v>
      </c>
      <c r="K4" s="28">
        <f t="shared" ca="1" si="1"/>
        <v>15706.766078919216</v>
      </c>
      <c r="L4" s="28">
        <f t="shared" ca="1" si="1"/>
        <v>15982.800818109452</v>
      </c>
      <c r="M4" s="28">
        <f t="shared" ca="1" si="1"/>
        <v>16108.641658117313</v>
      </c>
      <c r="N4" s="28">
        <f t="shared" ca="1" si="1"/>
        <v>16242.161827041442</v>
      </c>
      <c r="O4" s="28">
        <f t="shared" ca="1" si="1"/>
        <v>16497.23194602353</v>
      </c>
      <c r="P4" s="28">
        <f t="shared" ca="1" si="1"/>
        <v>16582.15118803045</v>
      </c>
      <c r="Q4" s="28">
        <f t="shared" ca="1" si="1"/>
        <v>16556.418967587731</v>
      </c>
      <c r="R4" s="28">
        <f t="shared" ca="1" si="1"/>
        <v>16889.254823434658</v>
      </c>
      <c r="S4" s="28">
        <f t="shared" ca="1" si="1"/>
        <v>17206.373024728451</v>
      </c>
      <c r="T4" s="28">
        <f t="shared" ca="1" si="1"/>
        <v>17192.625286873932</v>
      </c>
      <c r="U4" s="28">
        <f t="shared" ca="1" si="1"/>
        <v>17507.486812124505</v>
      </c>
      <c r="V4" s="28">
        <f t="shared" ca="1" si="1"/>
        <v>17445.458987819173</v>
      </c>
      <c r="W4" s="28">
        <f t="shared" ca="1" si="1"/>
        <v>17705.072811535596</v>
      </c>
      <c r="X4" s="28">
        <f t="shared" ca="1" si="1"/>
        <v>17661.939665300248</v>
      </c>
      <c r="Y4" s="28">
        <f t="shared" ca="1" si="1"/>
        <v>17945.868273199892</v>
      </c>
      <c r="Z4" s="28">
        <f t="shared" ca="1" si="1"/>
        <v>17892.005979662481</v>
      </c>
      <c r="AA4" s="28">
        <f t="shared" ca="1" si="1"/>
        <v>18069.259786992749</v>
      </c>
      <c r="AB4" s="28">
        <f t="shared" ca="1" si="1"/>
        <v>18270.729174686592</v>
      </c>
      <c r="AC4" s="28">
        <f t="shared" ca="1" si="1"/>
        <v>18490.479744445965</v>
      </c>
      <c r="AD4" s="28">
        <f t="shared" ca="1" si="1"/>
        <v>18648.930486783927</v>
      </c>
      <c r="AE4" s="28">
        <f t="shared" ca="1" si="1"/>
        <v>19028.009718845657</v>
      </c>
      <c r="AF4" s="28">
        <f t="shared" ca="1" si="1"/>
        <v>19142.544909136832</v>
      </c>
      <c r="AG4" s="28">
        <f t="shared" ca="1" si="1"/>
        <v>19455.191788292253</v>
      </c>
      <c r="AH4" s="28">
        <f t="shared" ca="1" si="1"/>
        <v>19602.556907827238</v>
      </c>
      <c r="AI4" s="28">
        <f t="shared" ca="1" si="1"/>
        <v>19687.554033278881</v>
      </c>
      <c r="AJ4" s="28">
        <f t="shared" ca="1" si="1"/>
        <v>19722.155445002816</v>
      </c>
      <c r="AK4" s="28">
        <f t="shared" ca="1" si="1"/>
        <v>19698.373529936129</v>
      </c>
      <c r="AL4" s="28">
        <f t="shared" ca="1" si="1"/>
        <v>20039.060131453592</v>
      </c>
      <c r="AM4" s="28">
        <f t="shared" ca="1" si="1"/>
        <v>20282.764600949969</v>
      </c>
      <c r="AN4" s="28">
        <f t="shared" ca="1" si="1"/>
        <v>20668.211291309439</v>
      </c>
      <c r="AO4" s="28">
        <f t="shared" ca="1" si="1"/>
        <v>20611.900613295638</v>
      </c>
      <c r="AP4" s="28">
        <f t="shared" ca="1" si="1"/>
        <v>20757.105522540067</v>
      </c>
      <c r="AQ4" s="28">
        <f t="shared" ca="1" si="1"/>
        <v>21005.416946335346</v>
      </c>
      <c r="AR4" s="28">
        <f t="shared" ca="1" si="1"/>
        <v>20976.798244883954</v>
      </c>
      <c r="AS4" s="28">
        <f t="shared" ca="1" si="1"/>
        <v>21147.476200308429</v>
      </c>
      <c r="AT4" s="28">
        <f t="shared" ca="1" si="1"/>
        <v>21509.746240328517</v>
      </c>
      <c r="AU4" s="28">
        <f t="shared" ca="1" si="1"/>
        <v>21484.193427810245</v>
      </c>
      <c r="AV4" s="28">
        <f t="shared" ca="1" si="1"/>
        <v>21543.351050011672</v>
      </c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</row>
    <row r="5" spans="2:155" x14ac:dyDescent="0.2">
      <c r="B5" s="23" t="s">
        <v>83</v>
      </c>
      <c r="C5" s="26">
        <v>35000</v>
      </c>
      <c r="D5" s="26">
        <f>C5*4</f>
        <v>140000</v>
      </c>
      <c r="E5" s="27">
        <v>51363</v>
      </c>
      <c r="F5" s="26">
        <v>150</v>
      </c>
      <c r="G5" s="28">
        <v>10000</v>
      </c>
      <c r="H5" s="28">
        <f t="shared" ref="H5:AV5" ca="1" si="2">G5+G5*(RAND()*(0.15--0.15)+-0.15)/12+$F5</f>
        <v>10118.06276294805</v>
      </c>
      <c r="I5" s="28">
        <f t="shared" ca="1" si="2"/>
        <v>10145.753435394465</v>
      </c>
      <c r="J5" s="28">
        <f t="shared" ca="1" si="2"/>
        <v>10286.400142134276</v>
      </c>
      <c r="K5" s="28">
        <f t="shared" ca="1" si="2"/>
        <v>10357.336800607285</v>
      </c>
      <c r="L5" s="28">
        <f t="shared" ca="1" si="2"/>
        <v>10576.922381258761</v>
      </c>
      <c r="M5" s="28">
        <f t="shared" ca="1" si="2"/>
        <v>10600.991447655528</v>
      </c>
      <c r="N5" s="28">
        <f t="shared" ca="1" si="2"/>
        <v>10797.328603835122</v>
      </c>
      <c r="O5" s="28">
        <f t="shared" ca="1" si="2"/>
        <v>10931.514197364864</v>
      </c>
      <c r="P5" s="28">
        <f t="shared" ca="1" si="2"/>
        <v>11130.145944741611</v>
      </c>
      <c r="Q5" s="28">
        <f t="shared" ca="1" si="2"/>
        <v>11395.501932677898</v>
      </c>
      <c r="R5" s="28">
        <f t="shared" ca="1" si="2"/>
        <v>11598.021672310719</v>
      </c>
      <c r="S5" s="28">
        <f t="shared" ca="1" si="2"/>
        <v>11758.063724150144</v>
      </c>
      <c r="T5" s="28">
        <f t="shared" ca="1" si="2"/>
        <v>11979.999512738394</v>
      </c>
      <c r="U5" s="28">
        <f t="shared" ca="1" si="2"/>
        <v>12120.659279236892</v>
      </c>
      <c r="V5" s="28">
        <f t="shared" ca="1" si="2"/>
        <v>12241.644990571616</v>
      </c>
      <c r="W5" s="28">
        <f t="shared" ca="1" si="2"/>
        <v>12356.345109331387</v>
      </c>
      <c r="X5" s="28">
        <f t="shared" ca="1" si="2"/>
        <v>12376.434415841641</v>
      </c>
      <c r="Y5" s="28">
        <f t="shared" ca="1" si="2"/>
        <v>12510.542689372269</v>
      </c>
      <c r="Z5" s="28">
        <f t="shared" ca="1" si="2"/>
        <v>12631.681232350456</v>
      </c>
      <c r="AA5" s="28">
        <f t="shared" ca="1" si="2"/>
        <v>12708.763199085446</v>
      </c>
      <c r="AB5" s="28">
        <f t="shared" ca="1" si="2"/>
        <v>12789.554487056996</v>
      </c>
      <c r="AC5" s="28">
        <f t="shared" ca="1" si="2"/>
        <v>13009.174648481003</v>
      </c>
      <c r="AD5" s="28">
        <f t="shared" ca="1" si="2"/>
        <v>13109.353751370703</v>
      </c>
      <c r="AE5" s="28">
        <f t="shared" ca="1" si="2"/>
        <v>13198.295925535727</v>
      </c>
      <c r="AF5" s="28">
        <f t="shared" ca="1" si="2"/>
        <v>13337.165983981438</v>
      </c>
      <c r="AG5" s="28">
        <f t="shared" ca="1" si="2"/>
        <v>13540.755220603607</v>
      </c>
      <c r="AH5" s="28">
        <f t="shared" ca="1" si="2"/>
        <v>13525.688383759361</v>
      </c>
      <c r="AI5" s="28">
        <f t="shared" ca="1" si="2"/>
        <v>13553.277198923965</v>
      </c>
      <c r="AJ5" s="28">
        <f t="shared" ca="1" si="2"/>
        <v>13575.902693539609</v>
      </c>
      <c r="AK5" s="28">
        <f t="shared" ca="1" si="2"/>
        <v>13688.873229399753</v>
      </c>
      <c r="AL5" s="28">
        <f t="shared" ca="1" si="2"/>
        <v>13695.780799491613</v>
      </c>
      <c r="AM5" s="28">
        <f t="shared" ca="1" si="2"/>
        <v>13701.65114200608</v>
      </c>
      <c r="AN5" s="28">
        <f t="shared" ca="1" si="2"/>
        <v>13814.886665595795</v>
      </c>
      <c r="AO5" s="28">
        <f t="shared" ca="1" si="2"/>
        <v>14045.950230191846</v>
      </c>
      <c r="AP5" s="28">
        <f t="shared" ca="1" si="2"/>
        <v>14354.818073589518</v>
      </c>
      <c r="AQ5" s="28">
        <f t="shared" ca="1" si="2"/>
        <v>14643.76361011922</v>
      </c>
      <c r="AR5" s="28">
        <f t="shared" ca="1" si="2"/>
        <v>14910.371513212673</v>
      </c>
      <c r="AS5" s="28">
        <f t="shared" ca="1" si="2"/>
        <v>14956.593854732309</v>
      </c>
      <c r="AT5" s="28">
        <f t="shared" ca="1" si="2"/>
        <v>14953.508134712325</v>
      </c>
      <c r="AU5" s="28">
        <f t="shared" ca="1" si="2"/>
        <v>14949.580309326879</v>
      </c>
      <c r="AV5" s="28">
        <f t="shared" ca="1" si="2"/>
        <v>15127.639686590976</v>
      </c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3"/>
    </row>
    <row r="6" spans="2:155" x14ac:dyDescent="0.2">
      <c r="B6" s="23"/>
      <c r="C6" s="23"/>
      <c r="D6" s="23"/>
      <c r="E6" s="23"/>
      <c r="F6" s="23"/>
      <c r="G6" s="26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</row>
    <row r="7" spans="2:155" x14ac:dyDescent="0.2"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</row>
    <row r="8" spans="2:155" x14ac:dyDescent="0.2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</row>
  </sheetData>
  <pageMargins left="0.7" right="0.7" top="0.75" bottom="0.75" header="0.3" footer="0.3"/>
  <pageSetup orientation="portrait" useFirstPageNumber="1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A1:N99"/>
  <sheetViews>
    <sheetView topLeftCell="D1" zoomScale="120" zoomScaleNormal="120" workbookViewId="0">
      <selection activeCell="I32" sqref="I32"/>
    </sheetView>
  </sheetViews>
  <sheetFormatPr baseColWidth="10" defaultColWidth="10.83203125" defaultRowHeight="16" customHeight="1" outlineLevelCol="1" x14ac:dyDescent="0.2"/>
  <cols>
    <col min="1" max="1" width="3.1640625" style="8" customWidth="1"/>
    <col min="2" max="2" width="13.33203125" style="8" customWidth="1"/>
    <col min="3" max="3" width="13.6640625" style="8" customWidth="1" outlineLevel="1" collapsed="1"/>
    <col min="4" max="4" width="10.83203125" style="1" customWidth="1" outlineLevel="1" collapsed="1"/>
    <col min="5" max="5" width="12.1640625" style="8" customWidth="1"/>
    <col min="6" max="6" width="9.5" style="29" customWidth="1"/>
    <col min="7" max="7" width="80.83203125" style="8" customWidth="1"/>
    <col min="8" max="8" width="14.1640625" style="8" customWidth="1"/>
    <col min="9" max="9" width="14.5" style="8" customWidth="1"/>
    <col min="10" max="10" width="19.5" style="8" customWidth="1"/>
    <col min="11" max="11" width="11.1640625" style="8" customWidth="1"/>
    <col min="12" max="12" width="18.6640625" style="8" customWidth="1"/>
    <col min="13" max="13" width="12.33203125" style="17" customWidth="1"/>
    <col min="14" max="14" width="18.83203125" style="17" customWidth="1"/>
    <col min="15" max="15" width="10.83203125" style="8" customWidth="1"/>
    <col min="16" max="16384" width="10.83203125" style="8"/>
  </cols>
  <sheetData>
    <row r="1" spans="1:14" ht="15" customHeight="1" x14ac:dyDescent="0.2">
      <c r="D1" s="8"/>
      <c r="L1" s="17"/>
      <c r="N1" s="8"/>
    </row>
    <row r="2" spans="1:14" s="30" customFormat="1" ht="29" customHeight="1" x14ac:dyDescent="0.2">
      <c r="A2" s="8"/>
      <c r="B2" s="4" t="s">
        <v>19</v>
      </c>
      <c r="C2" s="4" t="s">
        <v>0</v>
      </c>
      <c r="D2" s="4" t="s">
        <v>20</v>
      </c>
      <c r="E2" s="4" t="s">
        <v>84</v>
      </c>
      <c r="F2" s="4" t="s">
        <v>85</v>
      </c>
      <c r="G2" s="4" t="s">
        <v>86</v>
      </c>
      <c r="H2" s="31" t="s">
        <v>87</v>
      </c>
      <c r="I2" s="4" t="s">
        <v>88</v>
      </c>
      <c r="J2" s="4" t="s">
        <v>89</v>
      </c>
      <c r="K2" s="4" t="s">
        <v>90</v>
      </c>
      <c r="L2" s="4" t="s">
        <v>91</v>
      </c>
      <c r="M2" s="4" t="s">
        <v>92</v>
      </c>
      <c r="N2" s="4" t="s">
        <v>93</v>
      </c>
    </row>
    <row r="3" spans="1:14" ht="14" customHeight="1" x14ac:dyDescent="0.2">
      <c r="B3" s="6" t="s">
        <v>22</v>
      </c>
      <c r="C3" s="6" t="str" cm="1">
        <f t="array" ref="C3">_xlfn.XLOOKUP(Table5[[#This Row],[Account]],Table25[[#All],[Account]],Table25[[#All],[Account Type2]])</f>
        <v>Brokerage</v>
      </c>
      <c r="D3" s="6" t="str" cm="1">
        <f t="array" ref="D3">_xlfn.XLOOKUP(Table5[[#This Row],[Account]],Table25[[#All],[Account]],Table25[[#All],[Owner]])</f>
        <v>Drew</v>
      </c>
      <c r="E3" t="str">
        <f>IF(Table5[[#This Row],[Date Sold]]&lt;&gt;"","Closed","Open")</f>
        <v>Closed</v>
      </c>
      <c r="F3" s="6" t="s">
        <v>94</v>
      </c>
      <c r="G3" s="32" t="str" cm="1">
        <f t="array" ref="G3">_xlfn.XLOOKUP(Table5[[#This Row],[Symbol]],Table36[[#All],[Symbol]],Table36[[#All],[Security Description]])</f>
        <v>APPLE INC</v>
      </c>
      <c r="H3" s="33">
        <v>41715</v>
      </c>
      <c r="I3">
        <v>1</v>
      </c>
      <c r="J3" s="34">
        <v>531.22500000000002</v>
      </c>
      <c r="K3" s="35">
        <v>43143</v>
      </c>
      <c r="M3" s="6">
        <v>7</v>
      </c>
      <c r="N3" s="36">
        <v>162.30785714285713</v>
      </c>
    </row>
    <row r="4" spans="1:14" ht="16" customHeight="1" x14ac:dyDescent="0.2">
      <c r="B4" s="6" t="s">
        <v>22</v>
      </c>
      <c r="C4" s="6" t="str" cm="1">
        <f t="array" ref="C4">_xlfn.XLOOKUP(Table5[[#This Row],[Account]],Table25[[#All],[Account]],Table25[[#All],[Account Type2]])</f>
        <v>Brokerage</v>
      </c>
      <c r="D4" s="6" t="str" cm="1">
        <f t="array" ref="D4">_xlfn.XLOOKUP(Table5[[#This Row],[Account]],Table25[[#All],[Account]],Table25[[#All],[Owner]])</f>
        <v>Drew</v>
      </c>
      <c r="E4" t="str">
        <f>IF(Table5[[#This Row],[Date Sold]]&lt;&gt;"","Closed","Open")</f>
        <v>Closed</v>
      </c>
      <c r="F4" s="6" t="s">
        <v>94</v>
      </c>
      <c r="G4" s="32" t="str" cm="1">
        <f t="array" ref="G4">_xlfn.XLOOKUP(Table5[[#This Row],[Symbol]],Table36[[#All],[Symbol]],Table36[[#All],[Security Description]])</f>
        <v>APPLE INC</v>
      </c>
      <c r="H4" s="33">
        <v>41807</v>
      </c>
      <c r="I4">
        <v>1</v>
      </c>
      <c r="J4" s="34">
        <v>92.897272727272721</v>
      </c>
      <c r="K4" s="35">
        <v>43143</v>
      </c>
      <c r="M4" s="6">
        <v>1</v>
      </c>
      <c r="N4" s="36">
        <v>162.30818181818182</v>
      </c>
    </row>
    <row r="5" spans="1:14" ht="16" customHeight="1" x14ac:dyDescent="0.2">
      <c r="B5" s="6" t="s">
        <v>22</v>
      </c>
      <c r="C5" s="6" t="str" cm="1">
        <f t="array" ref="C5">_xlfn.XLOOKUP(Table5[[#This Row],[Account]],Table25[[#All],[Account]],Table25[[#All],[Account Type2]])</f>
        <v>Brokerage</v>
      </c>
      <c r="D5" s="6" t="str" cm="1">
        <f t="array" ref="D5">_xlfn.XLOOKUP(Table5[[#This Row],[Account]],Table25[[#All],[Account]],Table25[[#All],[Owner]])</f>
        <v>Drew</v>
      </c>
      <c r="E5" t="str">
        <f>IF(Table5[[#This Row],[Date Sold]]&lt;&gt;"","Closed","Open")</f>
        <v>Closed</v>
      </c>
      <c r="F5" s="6" t="s">
        <v>94</v>
      </c>
      <c r="G5" s="32" t="str" cm="1">
        <f t="array" ref="G5">_xlfn.XLOOKUP(Table5[[#This Row],[Symbol]],Table36[[#All],[Symbol]],Table36[[#All],[Security Description]])</f>
        <v>APPLE INC</v>
      </c>
      <c r="H5" s="33">
        <v>41807</v>
      </c>
      <c r="I5">
        <v>1</v>
      </c>
      <c r="J5" s="34">
        <v>92.897272727272721</v>
      </c>
      <c r="K5" s="35">
        <v>44074</v>
      </c>
      <c r="M5" s="6">
        <v>1</v>
      </c>
      <c r="N5" s="36">
        <v>130.60750000000002</v>
      </c>
    </row>
    <row r="6" spans="1:14" ht="16" customHeight="1" x14ac:dyDescent="0.2">
      <c r="B6" s="6" t="s">
        <v>22</v>
      </c>
      <c r="C6" s="6" t="str" cm="1">
        <f t="array" ref="C6">_xlfn.XLOOKUP(Table5[[#This Row],[Account]],Table25[[#All],[Account]],Table25[[#All],[Account Type2]])</f>
        <v>Brokerage</v>
      </c>
      <c r="D6" s="6" t="str" cm="1">
        <f t="array" ref="D6">_xlfn.XLOOKUP(Table5[[#This Row],[Account]],Table25[[#All],[Account]],Table25[[#All],[Owner]])</f>
        <v>Drew</v>
      </c>
      <c r="E6" t="str">
        <f>IF(Table5[[#This Row],[Date Sold]]&lt;&gt;"","Closed","Open")</f>
        <v>Closed</v>
      </c>
      <c r="F6" s="6" t="s">
        <v>94</v>
      </c>
      <c r="G6" s="32" t="str" cm="1">
        <f t="array" ref="G6">_xlfn.XLOOKUP(Table5[[#This Row],[Symbol]],Table36[[#All],[Symbol]],Table36[[#All],[Security Description]])</f>
        <v>APPLE INC</v>
      </c>
      <c r="H6" s="33">
        <v>41988</v>
      </c>
      <c r="I6">
        <v>1</v>
      </c>
      <c r="J6" s="34">
        <v>111.29333333333334</v>
      </c>
      <c r="K6" s="35">
        <v>44074</v>
      </c>
      <c r="M6" s="6">
        <v>4</v>
      </c>
      <c r="N6" s="36">
        <v>130.60777777777778</v>
      </c>
    </row>
    <row r="7" spans="1:14" ht="16" customHeight="1" x14ac:dyDescent="0.2">
      <c r="B7" s="6" t="s">
        <v>22</v>
      </c>
      <c r="C7" s="6" t="str" cm="1">
        <f t="array" ref="C7">_xlfn.XLOOKUP(Table5[[#This Row],[Account]],Table25[[#All],[Account]],Table25[[#All],[Account Type2]])</f>
        <v>Brokerage</v>
      </c>
      <c r="D7" s="6" t="str" cm="1">
        <f t="array" ref="D7">_xlfn.XLOOKUP(Table5[[#This Row],[Account]],Table25[[#All],[Account]],Table25[[#All],[Owner]])</f>
        <v>Drew</v>
      </c>
      <c r="E7" t="str">
        <f>IF(Table5[[#This Row],[Date Sold]]&lt;&gt;"","Closed","Open")</f>
        <v>Open</v>
      </c>
      <c r="F7" s="6" t="s">
        <v>94</v>
      </c>
      <c r="G7" s="32" t="str" cm="1">
        <f t="array" ref="G7">_xlfn.XLOOKUP(Table5[[#This Row],[Symbol]],Table36[[#All],[Symbol]],Table36[[#All],[Security Description]])</f>
        <v>APPLE INC</v>
      </c>
      <c r="H7" s="33">
        <v>42359</v>
      </c>
      <c r="I7">
        <v>1</v>
      </c>
      <c r="J7" s="34">
        <v>107.32</v>
      </c>
      <c r="K7" s="35"/>
      <c r="M7" s="6"/>
      <c r="N7" s="36" t="s">
        <v>95</v>
      </c>
    </row>
    <row r="8" spans="1:14" ht="16" customHeight="1" x14ac:dyDescent="0.2">
      <c r="B8" s="6" t="s">
        <v>22</v>
      </c>
      <c r="C8" s="6" t="str" cm="1">
        <f t="array" ref="C8">_xlfn.XLOOKUP(Table5[[#This Row],[Account]],Table25[[#All],[Account]],Table25[[#All],[Account Type2]])</f>
        <v>Brokerage</v>
      </c>
      <c r="D8" s="6" t="str" cm="1">
        <f t="array" ref="D8">_xlfn.XLOOKUP(Table5[[#This Row],[Account]],Table25[[#All],[Account]],Table25[[#All],[Owner]])</f>
        <v>Drew</v>
      </c>
      <c r="E8" t="str">
        <f>IF(Table5[[#This Row],[Date Sold]]&lt;&gt;"","Closed","Open")</f>
        <v>Closed</v>
      </c>
      <c r="F8" s="6" t="s">
        <v>94</v>
      </c>
      <c r="G8" s="32" t="str" cm="1">
        <f t="array" ref="G8">_xlfn.XLOOKUP(Table5[[#This Row],[Symbol]],Table36[[#All],[Symbol]],Table36[[#All],[Security Description]])</f>
        <v>APPLE INC</v>
      </c>
      <c r="H8" s="33">
        <v>42359</v>
      </c>
      <c r="I8">
        <v>1</v>
      </c>
      <c r="J8" s="34">
        <v>107.32</v>
      </c>
      <c r="K8" s="35">
        <v>44074</v>
      </c>
      <c r="M8" s="6">
        <v>4</v>
      </c>
      <c r="N8" s="36">
        <v>130.60749999999999</v>
      </c>
    </row>
    <row r="9" spans="1:14" ht="16" customHeight="1" x14ac:dyDescent="0.2">
      <c r="B9" s="6" t="s">
        <v>22</v>
      </c>
      <c r="C9" s="6" t="str" cm="1">
        <f t="array" ref="C9">_xlfn.XLOOKUP(Table5[[#This Row],[Account]],Table25[[#All],[Account]],Table25[[#All],[Account Type2]])</f>
        <v>Brokerage</v>
      </c>
      <c r="D9" s="6" t="str" cm="1">
        <f t="array" ref="D9">_xlfn.XLOOKUP(Table5[[#This Row],[Account]],Table25[[#All],[Account]],Table25[[#All],[Owner]])</f>
        <v>Drew</v>
      </c>
      <c r="E9" t="str">
        <f>IF(Table5[[#This Row],[Date Sold]]&lt;&gt;"","Closed","Open")</f>
        <v>Closed</v>
      </c>
      <c r="F9" s="6" t="s">
        <v>94</v>
      </c>
      <c r="G9" s="32" t="str" cm="1">
        <f t="array" ref="G9">_xlfn.XLOOKUP(Table5[[#This Row],[Symbol]],Table36[[#All],[Symbol]],Table36[[#All],[Security Description]])</f>
        <v>APPLE INC</v>
      </c>
      <c r="H9" s="33">
        <v>42359</v>
      </c>
      <c r="I9">
        <v>1</v>
      </c>
      <c r="J9" s="34">
        <v>107.32</v>
      </c>
      <c r="K9" s="37">
        <v>45415</v>
      </c>
      <c r="L9" t="s">
        <v>96</v>
      </c>
      <c r="M9" s="6">
        <v>4</v>
      </c>
      <c r="N9" s="36">
        <v>183.38</v>
      </c>
    </row>
    <row r="10" spans="1:14" ht="16" customHeight="1" x14ac:dyDescent="0.2">
      <c r="B10" s="6" t="s">
        <v>22</v>
      </c>
      <c r="C10" s="6" t="str" cm="1">
        <f t="array" ref="C10">_xlfn.XLOOKUP(Table5[[#This Row],[Account]],Table25[[#All],[Account]],Table25[[#All],[Account Type2]])</f>
        <v>Brokerage</v>
      </c>
      <c r="D10" s="6" t="str" cm="1">
        <f t="array" ref="D10">_xlfn.XLOOKUP(Table5[[#This Row],[Account]],Table25[[#All],[Account]],Table25[[#All],[Owner]])</f>
        <v>Drew</v>
      </c>
      <c r="E10" t="str">
        <f>IF(Table5[[#This Row],[Date Sold]]&lt;&gt;"","Closed","Open")</f>
        <v>Closed</v>
      </c>
      <c r="F10" s="6" t="s">
        <v>94</v>
      </c>
      <c r="G10" s="32" t="str" cm="1">
        <f t="array" ref="G10">_xlfn.XLOOKUP(Table5[[#This Row],[Symbol]],Table36[[#All],[Symbol]],Table36[[#All],[Security Description]])</f>
        <v>APPLE INC</v>
      </c>
      <c r="H10" s="33">
        <v>42359</v>
      </c>
      <c r="I10">
        <v>1</v>
      </c>
      <c r="J10" s="34">
        <v>107.32</v>
      </c>
      <c r="K10" s="37">
        <v>45608</v>
      </c>
      <c r="L10" t="s">
        <v>96</v>
      </c>
      <c r="M10" s="6">
        <v>4</v>
      </c>
      <c r="N10" s="36">
        <v>224.73142857142855</v>
      </c>
    </row>
    <row r="11" spans="1:14" ht="16" customHeight="1" x14ac:dyDescent="0.2">
      <c r="B11" s="6" t="s">
        <v>22</v>
      </c>
      <c r="C11" s="6" t="str" cm="1">
        <f t="array" ref="C11">_xlfn.XLOOKUP(Table5[[#This Row],[Account]],Table25[[#All],[Account]],Table25[[#All],[Account Type2]])</f>
        <v>Brokerage</v>
      </c>
      <c r="D11" s="6" t="str" cm="1">
        <f t="array" ref="D11">_xlfn.XLOOKUP(Table5[[#This Row],[Account]],Table25[[#All],[Account]],Table25[[#All],[Owner]])</f>
        <v>Drew</v>
      </c>
      <c r="E11" t="str">
        <f>IF(Table5[[#This Row],[Date Sold]]&lt;&gt;"","Closed","Open")</f>
        <v>Closed</v>
      </c>
      <c r="F11" s="6" t="s">
        <v>94</v>
      </c>
      <c r="G11" s="32" t="str" cm="1">
        <f t="array" ref="G11">_xlfn.XLOOKUP(Table5[[#This Row],[Symbol]],Table36[[#All],[Symbol]],Table36[[#All],[Security Description]])</f>
        <v>APPLE INC</v>
      </c>
      <c r="H11" s="33">
        <v>42359</v>
      </c>
      <c r="I11">
        <v>1</v>
      </c>
      <c r="J11" s="34">
        <v>107.32</v>
      </c>
      <c r="K11" s="37">
        <v>45698</v>
      </c>
      <c r="M11" s="6">
        <v>4</v>
      </c>
      <c r="N11" s="36">
        <v>229.405</v>
      </c>
    </row>
    <row r="12" spans="1:14" ht="16" customHeight="1" x14ac:dyDescent="0.2">
      <c r="B12" s="6" t="s">
        <v>22</v>
      </c>
      <c r="C12" s="6" t="str" cm="1">
        <f t="array" ref="C12">_xlfn.XLOOKUP(Table5[[#This Row],[Account]],Table25[[#All],[Account]],Table25[[#All],[Account Type2]])</f>
        <v>Brokerage</v>
      </c>
      <c r="D12" s="6" t="str" cm="1">
        <f t="array" ref="D12">_xlfn.XLOOKUP(Table5[[#This Row],[Account]],Table25[[#All],[Account]],Table25[[#All],[Owner]])</f>
        <v>Drew</v>
      </c>
      <c r="E12" t="str">
        <f>IF(Table5[[#This Row],[Date Sold]]&lt;&gt;"","Closed","Open")</f>
        <v>Open</v>
      </c>
      <c r="F12" s="6" t="s">
        <v>94</v>
      </c>
      <c r="G12" s="32" t="str" cm="1">
        <f t="array" ref="G12">_xlfn.XLOOKUP(Table5[[#This Row],[Symbol]],Table36[[#All],[Symbol]],Table36[[#All],[Security Description]])</f>
        <v>APPLE INC</v>
      </c>
      <c r="H12" s="33">
        <v>43837</v>
      </c>
      <c r="I12">
        <v>1</v>
      </c>
      <c r="J12" s="34">
        <v>299.7</v>
      </c>
      <c r="K12" s="35"/>
      <c r="M12" s="6"/>
      <c r="N12" s="36" t="s">
        <v>95</v>
      </c>
    </row>
    <row r="13" spans="1:14" ht="16" customHeight="1" x14ac:dyDescent="0.2">
      <c r="B13" s="6" t="s">
        <v>22</v>
      </c>
      <c r="C13" s="6" t="str" cm="1">
        <f t="array" ref="C13">_xlfn.XLOOKUP(Table5[[#This Row],[Account]],Table25[[#All],[Account]],Table25[[#All],[Account Type2]])</f>
        <v>Brokerage</v>
      </c>
      <c r="D13" s="6" t="str" cm="1">
        <f t="array" ref="D13">_xlfn.XLOOKUP(Table5[[#This Row],[Account]],Table25[[#All],[Account]],Table25[[#All],[Owner]])</f>
        <v>Drew</v>
      </c>
      <c r="E13" t="str">
        <f>IF(Table5[[#This Row],[Date Sold]]&lt;&gt;"","Closed","Open")</f>
        <v>Open</v>
      </c>
      <c r="F13" s="6" t="s">
        <v>94</v>
      </c>
      <c r="G13" s="32" t="str" cm="1">
        <f t="array" ref="G13">_xlfn.XLOOKUP(Table5[[#This Row],[Symbol]],Table36[[#All],[Symbol]],Table36[[#All],[Security Description]])</f>
        <v>APPLE INC</v>
      </c>
      <c r="H13" s="33">
        <v>44365</v>
      </c>
      <c r="I13">
        <v>1</v>
      </c>
      <c r="J13" s="34">
        <v>130.96</v>
      </c>
      <c r="K13" s="35"/>
      <c r="M13" s="6"/>
      <c r="N13" s="36" t="s">
        <v>95</v>
      </c>
    </row>
    <row r="14" spans="1:14" ht="16" customHeight="1" x14ac:dyDescent="0.2">
      <c r="B14" s="6" t="s">
        <v>22</v>
      </c>
      <c r="C14" s="6" t="str" cm="1">
        <f t="array" ref="C14">_xlfn.XLOOKUP(Table5[[#This Row],[Account]],Table25[[#All],[Account]],Table25[[#All],[Account Type2]])</f>
        <v>Brokerage</v>
      </c>
      <c r="D14" s="6" t="str" cm="1">
        <f t="array" ref="D14">_xlfn.XLOOKUP(Table5[[#This Row],[Account]],Table25[[#All],[Account]],Table25[[#All],[Owner]])</f>
        <v>Drew</v>
      </c>
      <c r="E14" t="str">
        <f>IF(Table5[[#This Row],[Date Sold]]&lt;&gt;"","Closed","Open")</f>
        <v>Open</v>
      </c>
      <c r="F14" s="6" t="s">
        <v>94</v>
      </c>
      <c r="G14" s="32" t="str" cm="1">
        <f t="array" ref="G14">_xlfn.XLOOKUP(Table5[[#This Row],[Symbol]],Table36[[#All],[Symbol]],Table36[[#All],[Security Description]])</f>
        <v>APPLE INC</v>
      </c>
      <c r="H14" s="33">
        <v>44657</v>
      </c>
      <c r="I14">
        <v>1</v>
      </c>
      <c r="J14" s="34">
        <v>170.82</v>
      </c>
      <c r="K14" s="37"/>
      <c r="M14" s="6"/>
      <c r="N14" s="36" t="s">
        <v>95</v>
      </c>
    </row>
    <row r="15" spans="1:14" ht="16" customHeight="1" x14ac:dyDescent="0.2">
      <c r="B15" s="6" t="s">
        <v>22</v>
      </c>
      <c r="C15" s="6" t="str" cm="1">
        <f t="array" ref="C15">_xlfn.XLOOKUP(Table5[[#This Row],[Account]],Table25[[#All],[Account]],Table25[[#All],[Account Type2]])</f>
        <v>Brokerage</v>
      </c>
      <c r="D15" s="6" t="str" cm="1">
        <f t="array" ref="D15">_xlfn.XLOOKUP(Table5[[#This Row],[Account]],Table25[[#All],[Account]],Table25[[#All],[Owner]])</f>
        <v>Drew</v>
      </c>
      <c r="E15" t="str">
        <f>IF(Table5[[#This Row],[Date Sold]]&lt;&gt;"","Closed","Open")</f>
        <v>Open</v>
      </c>
      <c r="F15" s="6" t="s">
        <v>94</v>
      </c>
      <c r="G15" s="32" t="str" cm="1">
        <f t="array" ref="G15">_xlfn.XLOOKUP(Table5[[#This Row],[Symbol]],Table36[[#All],[Symbol]],Table36[[#All],[Security Description]])</f>
        <v>APPLE INC</v>
      </c>
      <c r="H15" s="33">
        <v>44683</v>
      </c>
      <c r="I15">
        <v>1</v>
      </c>
      <c r="J15" s="34">
        <v>153.88499999999999</v>
      </c>
      <c r="K15" s="37"/>
      <c r="M15" s="6"/>
      <c r="N15" s="36" t="s">
        <v>95</v>
      </c>
    </row>
    <row r="16" spans="1:14" ht="16" customHeight="1" x14ac:dyDescent="0.2">
      <c r="B16" s="6" t="s">
        <v>22</v>
      </c>
      <c r="C16" s="6" t="str" cm="1">
        <f t="array" ref="C16">_xlfn.XLOOKUP(Table5[[#This Row],[Account]],Table25[[#All],[Account]],Table25[[#All],[Account Type2]])</f>
        <v>Brokerage</v>
      </c>
      <c r="D16" s="6" t="str" cm="1">
        <f t="array" ref="D16">_xlfn.XLOOKUP(Table5[[#This Row],[Account]],Table25[[#All],[Account]],Table25[[#All],[Owner]])</f>
        <v>Drew</v>
      </c>
      <c r="E16" t="str">
        <f>IF(Table5[[#This Row],[Date Sold]]&lt;&gt;"","Closed","Open")</f>
        <v>Open</v>
      </c>
      <c r="F16" s="6" t="s">
        <v>94</v>
      </c>
      <c r="G16" s="32" t="str" cm="1">
        <f t="array" ref="G16">_xlfn.XLOOKUP(Table5[[#This Row],[Symbol]],Table36[[#All],[Symbol]],Table36[[#All],[Security Description]])</f>
        <v>APPLE INC</v>
      </c>
      <c r="H16" s="33">
        <v>45022</v>
      </c>
      <c r="I16">
        <v>1</v>
      </c>
      <c r="J16" s="34">
        <v>164.47</v>
      </c>
      <c r="K16" s="37"/>
      <c r="M16" s="6"/>
      <c r="N16" s="36" t="s">
        <v>95</v>
      </c>
    </row>
    <row r="17" spans="2:14" ht="16" customHeight="1" x14ac:dyDescent="0.2">
      <c r="B17" s="6" t="s">
        <v>22</v>
      </c>
      <c r="C17" s="6" t="str" cm="1">
        <f t="array" ref="C17">_xlfn.XLOOKUP(Table5[[#This Row],[Account]],Table25[[#All],[Account]],Table25[[#All],[Account Type2]])</f>
        <v>Brokerage</v>
      </c>
      <c r="D17" s="6" t="str" cm="1">
        <f t="array" ref="D17">_xlfn.XLOOKUP(Table5[[#This Row],[Account]],Table25[[#All],[Account]],Table25[[#All],[Owner]])</f>
        <v>Drew</v>
      </c>
      <c r="E17" t="str">
        <f>IF(Table5[[#This Row],[Date Sold]]&lt;&gt;"","Closed","Open")</f>
        <v>Open</v>
      </c>
      <c r="F17" s="6" t="s">
        <v>94</v>
      </c>
      <c r="G17" s="32" t="str" cm="1">
        <f t="array" ref="G17">_xlfn.XLOOKUP(Table5[[#This Row],[Symbol]],Table36[[#All],[Symbol]],Table36[[#All],[Security Description]])</f>
        <v>APPLE INC</v>
      </c>
      <c r="H17" s="33">
        <v>45079</v>
      </c>
      <c r="I17">
        <v>1</v>
      </c>
      <c r="J17" s="34">
        <v>180.94</v>
      </c>
      <c r="K17" s="37"/>
      <c r="M17" s="6"/>
      <c r="N17" s="36" t="s">
        <v>95</v>
      </c>
    </row>
    <row r="18" spans="2:14" ht="16" customHeight="1" x14ac:dyDescent="0.2">
      <c r="B18" s="6" t="s">
        <v>22</v>
      </c>
      <c r="C18" s="6" t="str" cm="1">
        <f t="array" ref="C18">_xlfn.XLOOKUP(Table5[[#This Row],[Account]],Table25[[#All],[Account]],Table25[[#All],[Account Type2]])</f>
        <v>Brokerage</v>
      </c>
      <c r="D18" s="6" t="str" cm="1">
        <f t="array" ref="D18">_xlfn.XLOOKUP(Table5[[#This Row],[Account]],Table25[[#All],[Account]],Table25[[#All],[Owner]])</f>
        <v>Drew</v>
      </c>
      <c r="E18" t="str">
        <f>IF(Table5[[#This Row],[Date Sold]]&lt;&gt;"","Closed","Open")</f>
        <v>Open</v>
      </c>
      <c r="F18" s="6" t="s">
        <v>94</v>
      </c>
      <c r="G18" s="32" t="str" cm="1">
        <f t="array" ref="G18">_xlfn.XLOOKUP(Table5[[#This Row],[Symbol]],Table36[[#All],[Symbol]],Table36[[#All],[Security Description]])</f>
        <v>APPLE INC</v>
      </c>
      <c r="H18" s="33">
        <v>45215</v>
      </c>
      <c r="I18">
        <v>1</v>
      </c>
      <c r="J18" s="34">
        <v>177.976</v>
      </c>
      <c r="K18" s="37"/>
      <c r="M18" s="6"/>
      <c r="N18" s="36" t="s">
        <v>95</v>
      </c>
    </row>
    <row r="19" spans="2:14" ht="16" customHeight="1" x14ac:dyDescent="0.2">
      <c r="B19" s="6" t="s">
        <v>22</v>
      </c>
      <c r="C19" s="6" t="str" cm="1">
        <f t="array" ref="C19">_xlfn.XLOOKUP(Table5[[#This Row],[Account]],Table25[[#All],[Account]],Table25[[#All],[Account Type2]])</f>
        <v>Brokerage</v>
      </c>
      <c r="D19" s="6" t="str" cm="1">
        <f t="array" ref="D19">_xlfn.XLOOKUP(Table5[[#This Row],[Account]],Table25[[#All],[Account]],Table25[[#All],[Owner]])</f>
        <v>Drew</v>
      </c>
      <c r="E19" t="str">
        <f>IF(Table5[[#This Row],[Date Sold]]&lt;&gt;"","Closed","Open")</f>
        <v>Open</v>
      </c>
      <c r="F19" s="6" t="s">
        <v>94</v>
      </c>
      <c r="G19" s="32" t="str" cm="1">
        <f t="array" ref="G19">_xlfn.XLOOKUP(Table5[[#This Row],[Symbol]],Table36[[#All],[Symbol]],Table36[[#All],[Security Description]])</f>
        <v>APPLE INC</v>
      </c>
      <c r="H19" s="33">
        <v>45481</v>
      </c>
      <c r="I19">
        <v>1</v>
      </c>
      <c r="J19" s="34">
        <v>225.52</v>
      </c>
      <c r="K19" s="37"/>
      <c r="M19" s="6"/>
      <c r="N19" s="36" t="s">
        <v>95</v>
      </c>
    </row>
    <row r="20" spans="2:14" ht="16" customHeight="1" x14ac:dyDescent="0.2">
      <c r="B20" s="5" t="s">
        <v>25</v>
      </c>
      <c r="C20" s="6" t="str" cm="1">
        <f t="array" ref="C20">_xlfn.XLOOKUP(Table5[[#This Row],[Account]],Table25[[#All],[Account]],Table25[[#All],[Account Type2]])</f>
        <v>Roth IRA</v>
      </c>
      <c r="D20" s="6" t="str" cm="1">
        <f t="array" ref="D20">_xlfn.XLOOKUP(Table5[[#This Row],[Account]],Table25[[#All],[Account]],Table25[[#All],[Owner]])</f>
        <v>Shaun</v>
      </c>
      <c r="E20" t="str">
        <f>IF(Table5[[#This Row],[Date Sold]]&lt;&gt;"","Closed","Open")</f>
        <v>Closed</v>
      </c>
      <c r="F20" s="6" t="s">
        <v>97</v>
      </c>
      <c r="G20" s="32" t="str" cm="1">
        <f t="array" ref="G20">_xlfn.XLOOKUP(Table5[[#This Row],[Symbol]],Table36[[#All],[Symbol]],Table36[[#All],[Security Description]])</f>
        <v>AIRBNB INC COM CL A</v>
      </c>
      <c r="H20" s="38">
        <v>44344</v>
      </c>
      <c r="I20" s="6">
        <v>1</v>
      </c>
      <c r="J20" s="36">
        <v>143.05000000000001</v>
      </c>
      <c r="K20" s="35">
        <v>45698</v>
      </c>
      <c r="L20" s="6"/>
      <c r="M20" s="6">
        <v>1</v>
      </c>
      <c r="N20" s="36">
        <v>134.22669999999999</v>
      </c>
    </row>
    <row r="21" spans="2:14" ht="16" customHeight="1" x14ac:dyDescent="0.2">
      <c r="B21" s="5" t="s">
        <v>25</v>
      </c>
      <c r="C21" s="6" t="str" cm="1">
        <f t="array" ref="C21">_xlfn.XLOOKUP(Table5[[#This Row],[Account]],Table25[[#All],[Account]],Table25[[#All],[Account Type2]])</f>
        <v>Roth IRA</v>
      </c>
      <c r="D21" s="6" t="str" cm="1">
        <f t="array" ref="D21">_xlfn.XLOOKUP(Table5[[#This Row],[Account]],Table25[[#All],[Account]],Table25[[#All],[Owner]])</f>
        <v>Shaun</v>
      </c>
      <c r="E21" t="str">
        <f>IF(Table5[[#This Row],[Date Sold]]&lt;&gt;"","Closed","Open")</f>
        <v>Open</v>
      </c>
      <c r="F21" s="6" t="s">
        <v>97</v>
      </c>
      <c r="G21" s="32" t="str" cm="1">
        <f t="array" ref="G21">_xlfn.XLOOKUP(Table5[[#This Row],[Symbol]],Table36[[#All],[Symbol]],Table36[[#All],[Security Description]])</f>
        <v>AIRBNB INC COM CL A</v>
      </c>
      <c r="H21" s="38">
        <v>44365</v>
      </c>
      <c r="I21" s="6">
        <v>1</v>
      </c>
      <c r="J21" s="36">
        <v>152.80000000000001</v>
      </c>
      <c r="K21" s="35"/>
      <c r="L21" s="6"/>
      <c r="M21" s="6"/>
      <c r="N21" s="36" t="s">
        <v>95</v>
      </c>
    </row>
    <row r="22" spans="2:14" ht="16" customHeight="1" x14ac:dyDescent="0.2">
      <c r="B22" s="5" t="s">
        <v>25</v>
      </c>
      <c r="C22" s="6" t="str" cm="1">
        <f t="array" ref="C22">_xlfn.XLOOKUP(Table5[[#This Row],[Account]],Table25[[#All],[Account]],Table25[[#All],[Account Type2]])</f>
        <v>Roth IRA</v>
      </c>
      <c r="D22" s="6" t="str" cm="1">
        <f t="array" ref="D22">_xlfn.XLOOKUP(Table5[[#This Row],[Account]],Table25[[#All],[Account]],Table25[[#All],[Owner]])</f>
        <v>Shaun</v>
      </c>
      <c r="E22" t="str">
        <f>IF(Table5[[#This Row],[Date Sold]]&lt;&gt;"","Closed","Open")</f>
        <v>Closed</v>
      </c>
      <c r="F22" s="6" t="s">
        <v>97</v>
      </c>
      <c r="G22" s="32" t="str" cm="1">
        <f t="array" ref="G22">_xlfn.XLOOKUP(Table5[[#This Row],[Symbol]],Table36[[#All],[Symbol]],Table36[[#All],[Security Description]])</f>
        <v>AIRBNB INC COM CL A</v>
      </c>
      <c r="H22" s="38">
        <v>44378</v>
      </c>
      <c r="I22" s="6">
        <v>1</v>
      </c>
      <c r="J22" s="36">
        <v>152.4</v>
      </c>
      <c r="K22" s="35">
        <v>45698</v>
      </c>
      <c r="L22" s="6"/>
      <c r="M22" s="6">
        <v>1</v>
      </c>
      <c r="N22" s="36">
        <v>134.22669999999999</v>
      </c>
    </row>
    <row r="23" spans="2:14" ht="16" customHeight="1" x14ac:dyDescent="0.2">
      <c r="B23" s="5" t="s">
        <v>25</v>
      </c>
      <c r="C23" s="6" t="str" cm="1">
        <f t="array" ref="C23">_xlfn.XLOOKUP(Table5[[#This Row],[Account]],Table25[[#All],[Account]],Table25[[#All],[Account Type2]])</f>
        <v>Roth IRA</v>
      </c>
      <c r="D23" s="6" t="str" cm="1">
        <f t="array" ref="D23">_xlfn.XLOOKUP(Table5[[#This Row],[Account]],Table25[[#All],[Account]],Table25[[#All],[Owner]])</f>
        <v>Shaun</v>
      </c>
      <c r="E23" t="str">
        <f>IF(Table5[[#This Row],[Date Sold]]&lt;&gt;"","Closed","Open")</f>
        <v>Open</v>
      </c>
      <c r="F23" s="6" t="s">
        <v>97</v>
      </c>
      <c r="G23" s="32" t="str" cm="1">
        <f t="array" ref="G23">_xlfn.XLOOKUP(Table5[[#This Row],[Symbol]],Table36[[#All],[Symbol]],Table36[[#All],[Security Description]])</f>
        <v>AIRBNB INC COM CL A</v>
      </c>
      <c r="H23" s="38">
        <v>44722</v>
      </c>
      <c r="I23" s="6">
        <v>1</v>
      </c>
      <c r="J23" s="36">
        <v>109.44666700000001</v>
      </c>
      <c r="K23" s="35"/>
      <c r="L23" s="6"/>
      <c r="M23" s="6"/>
      <c r="N23" s="36" t="s">
        <v>95</v>
      </c>
    </row>
    <row r="24" spans="2:14" ht="16" customHeight="1" x14ac:dyDescent="0.2">
      <c r="B24" s="5" t="s">
        <v>25</v>
      </c>
      <c r="C24" s="6" t="str" cm="1">
        <f t="array" ref="C24">_xlfn.XLOOKUP(Table5[[#This Row],[Account]],Table25[[#All],[Account]],Table25[[#All],[Account Type2]])</f>
        <v>Roth IRA</v>
      </c>
      <c r="D24" s="6" t="str" cm="1">
        <f t="array" ref="D24">_xlfn.XLOOKUP(Table5[[#This Row],[Account]],Table25[[#All],[Account]],Table25[[#All],[Owner]])</f>
        <v>Shaun</v>
      </c>
      <c r="E24" t="str">
        <f>IF(Table5[[#This Row],[Date Sold]]&lt;&gt;"","Closed","Open")</f>
        <v>Closed</v>
      </c>
      <c r="F24" s="6" t="s">
        <v>97</v>
      </c>
      <c r="G24" s="32" t="str" cm="1">
        <f t="array" ref="G24">_xlfn.XLOOKUP(Table5[[#This Row],[Symbol]],Table36[[#All],[Symbol]],Table36[[#All],[Security Description]])</f>
        <v>AIRBNB INC COM CL A</v>
      </c>
      <c r="H24" s="38">
        <v>44722</v>
      </c>
      <c r="I24" s="6">
        <v>1</v>
      </c>
      <c r="J24" s="36">
        <v>109.44666700000001</v>
      </c>
      <c r="K24" s="35">
        <v>45698</v>
      </c>
      <c r="L24" s="6"/>
      <c r="M24" s="6">
        <v>1</v>
      </c>
      <c r="N24" s="36">
        <v>134.22669999999999</v>
      </c>
    </row>
    <row r="25" spans="2:14" ht="16" customHeight="1" x14ac:dyDescent="0.2">
      <c r="B25" s="5" t="s">
        <v>25</v>
      </c>
      <c r="C25" s="6" t="str" cm="1">
        <f t="array" ref="C25">_xlfn.XLOOKUP(Table5[[#This Row],[Account]],Table25[[#All],[Account]],Table25[[#All],[Account Type2]])</f>
        <v>Roth IRA</v>
      </c>
      <c r="D25" s="6" t="str" cm="1">
        <f t="array" ref="D25">_xlfn.XLOOKUP(Table5[[#This Row],[Account]],Table25[[#All],[Account]],Table25[[#All],[Owner]])</f>
        <v>Shaun</v>
      </c>
      <c r="E25" t="str">
        <f>IF(Table5[[#This Row],[Date Sold]]&lt;&gt;"","Closed","Open")</f>
        <v>Open</v>
      </c>
      <c r="F25" s="6" t="s">
        <v>97</v>
      </c>
      <c r="G25" s="32" t="str" cm="1">
        <f t="array" ref="G25">_xlfn.XLOOKUP(Table5[[#This Row],[Symbol]],Table36[[#All],[Symbol]],Table36[[#All],[Security Description]])</f>
        <v>AIRBNB INC COM CL A</v>
      </c>
      <c r="H25" s="38">
        <v>44798</v>
      </c>
      <c r="I25" s="6">
        <v>1</v>
      </c>
      <c r="J25" s="36">
        <v>116.26</v>
      </c>
      <c r="K25" s="35"/>
      <c r="L25" s="6"/>
      <c r="M25" s="6"/>
      <c r="N25" s="36" t="s">
        <v>95</v>
      </c>
    </row>
    <row r="26" spans="2:14" ht="16" customHeight="1" x14ac:dyDescent="0.2">
      <c r="B26" s="5" t="s">
        <v>25</v>
      </c>
      <c r="C26" s="6" t="str" cm="1">
        <f t="array" ref="C26">_xlfn.XLOOKUP(Table5[[#This Row],[Account]],Table25[[#All],[Account]],Table25[[#All],[Account Type2]])</f>
        <v>Roth IRA</v>
      </c>
      <c r="D26" s="6" t="str" cm="1">
        <f t="array" ref="D26">_xlfn.XLOOKUP(Table5[[#This Row],[Account]],Table25[[#All],[Account]],Table25[[#All],[Owner]])</f>
        <v>Shaun</v>
      </c>
      <c r="E26" t="str">
        <f>IF(Table5[[#This Row],[Date Sold]]&lt;&gt;"","Closed","Open")</f>
        <v>Closed</v>
      </c>
      <c r="F26" s="6" t="s">
        <v>97</v>
      </c>
      <c r="G26" s="32" t="str" cm="1">
        <f t="array" ref="G26">_xlfn.XLOOKUP(Table5[[#This Row],[Symbol]],Table36[[#All],[Symbol]],Table36[[#All],[Security Description]])</f>
        <v>AIRBNB INC COM CL A</v>
      </c>
      <c r="H26" s="38">
        <v>44991</v>
      </c>
      <c r="I26" s="6">
        <v>1</v>
      </c>
      <c r="J26" s="36">
        <v>126.81</v>
      </c>
      <c r="K26" s="35">
        <v>45698</v>
      </c>
      <c r="L26" s="6"/>
      <c r="M26" s="6">
        <v>1</v>
      </c>
      <c r="N26" s="36">
        <v>134.22669999999999</v>
      </c>
    </row>
    <row r="27" spans="2:14" ht="16" customHeight="1" x14ac:dyDescent="0.2">
      <c r="B27" s="5" t="s">
        <v>25</v>
      </c>
      <c r="C27" s="6" t="str" cm="1">
        <f t="array" ref="C27">_xlfn.XLOOKUP(Table5[[#This Row],[Account]],Table25[[#All],[Account]],Table25[[#All],[Account Type2]])</f>
        <v>Roth IRA</v>
      </c>
      <c r="D27" s="6" t="str" cm="1">
        <f t="array" ref="D27">_xlfn.XLOOKUP(Table5[[#This Row],[Account]],Table25[[#All],[Account]],Table25[[#All],[Owner]])</f>
        <v>Shaun</v>
      </c>
      <c r="E27" t="str">
        <f>IF(Table5[[#This Row],[Date Sold]]&lt;&gt;"","Closed","Open")</f>
        <v>Open</v>
      </c>
      <c r="F27" s="6" t="s">
        <v>97</v>
      </c>
      <c r="G27" s="32" t="str" cm="1">
        <f t="array" ref="G27">_xlfn.XLOOKUP(Table5[[#This Row],[Symbol]],Table36[[#All],[Symbol]],Table36[[#All],[Security Description]])</f>
        <v>AIRBNB INC COM CL A</v>
      </c>
      <c r="H27" s="38">
        <v>45019</v>
      </c>
      <c r="I27" s="6">
        <v>1</v>
      </c>
      <c r="J27" s="36">
        <v>120.21</v>
      </c>
      <c r="K27" s="35"/>
      <c r="L27" s="6"/>
      <c r="M27" s="6"/>
      <c r="N27" s="36" t="s">
        <v>95</v>
      </c>
    </row>
    <row r="28" spans="2:14" ht="16" customHeight="1" x14ac:dyDescent="0.2">
      <c r="B28" s="5" t="s">
        <v>25</v>
      </c>
      <c r="C28" s="6" t="str" cm="1">
        <f t="array" ref="C28">_xlfn.XLOOKUP(Table5[[#This Row],[Account]],Table25[[#All],[Account]],Table25[[#All],[Account Type2]])</f>
        <v>Roth IRA</v>
      </c>
      <c r="D28" s="6" t="str" cm="1">
        <f t="array" ref="D28">_xlfn.XLOOKUP(Table5[[#This Row],[Account]],Table25[[#All],[Account]],Table25[[#All],[Owner]])</f>
        <v>Shaun</v>
      </c>
      <c r="E28" t="str">
        <f>IF(Table5[[#This Row],[Date Sold]]&lt;&gt;"","Closed","Open")</f>
        <v>Open</v>
      </c>
      <c r="F28" s="6" t="s">
        <v>97</v>
      </c>
      <c r="G28" s="32" t="str" cm="1">
        <f t="array" ref="G28">_xlfn.XLOOKUP(Table5[[#This Row],[Symbol]],Table36[[#All],[Symbol]],Table36[[#All],[Security Description]])</f>
        <v>AIRBNB INC COM CL A</v>
      </c>
      <c r="H28" s="38">
        <v>45022</v>
      </c>
      <c r="I28" s="6">
        <v>1</v>
      </c>
      <c r="J28" s="36">
        <v>117.45</v>
      </c>
      <c r="K28" s="35"/>
      <c r="L28" s="6"/>
      <c r="M28" s="6"/>
      <c r="N28" s="36" t="s">
        <v>95</v>
      </c>
    </row>
    <row r="29" spans="2:14" ht="16" customHeight="1" x14ac:dyDescent="0.2">
      <c r="B29" s="5" t="s">
        <v>25</v>
      </c>
      <c r="C29" s="6" t="str" cm="1">
        <f t="array" ref="C29">_xlfn.XLOOKUP(Table5[[#This Row],[Account]],Table25[[#All],[Account]],Table25[[#All],[Account Type2]])</f>
        <v>Roth IRA</v>
      </c>
      <c r="D29" s="6" t="str" cm="1">
        <f t="array" ref="D29">_xlfn.XLOOKUP(Table5[[#This Row],[Account]],Table25[[#All],[Account]],Table25[[#All],[Owner]])</f>
        <v>Shaun</v>
      </c>
      <c r="E29" t="str">
        <f>IF(Table5[[#This Row],[Date Sold]]&lt;&gt;"","Closed","Open")</f>
        <v>Open</v>
      </c>
      <c r="F29" s="6" t="s">
        <v>97</v>
      </c>
      <c r="G29" s="32" t="str" cm="1">
        <f t="array" ref="G29">_xlfn.XLOOKUP(Table5[[#This Row],[Symbol]],Table36[[#All],[Symbol]],Table36[[#All],[Security Description]])</f>
        <v>AIRBNB INC COM CL A</v>
      </c>
      <c r="H29" s="38">
        <v>45201</v>
      </c>
      <c r="I29" s="6">
        <v>1</v>
      </c>
      <c r="J29" s="36">
        <v>136.33000000000001</v>
      </c>
      <c r="K29" s="35"/>
      <c r="L29" s="6"/>
      <c r="M29" s="6"/>
      <c r="N29" s="36" t="s">
        <v>95</v>
      </c>
    </row>
    <row r="30" spans="2:14" ht="16" customHeight="1" x14ac:dyDescent="0.2">
      <c r="B30" s="5" t="s">
        <v>25</v>
      </c>
      <c r="C30" s="6" t="str" cm="1">
        <f t="array" ref="C30">_xlfn.XLOOKUP(Table5[[#This Row],[Account]],Table25[[#All],[Account]],Table25[[#All],[Account Type2]])</f>
        <v>Roth IRA</v>
      </c>
      <c r="D30" s="6" t="str" cm="1">
        <f t="array" ref="D30">_xlfn.XLOOKUP(Table5[[#This Row],[Account]],Table25[[#All],[Account]],Table25[[#All],[Owner]])</f>
        <v>Shaun</v>
      </c>
      <c r="E30" t="str">
        <f>IF(Table5[[#This Row],[Date Sold]]&lt;&gt;"","Closed","Open")</f>
        <v>Open</v>
      </c>
      <c r="F30" s="6" t="s">
        <v>97</v>
      </c>
      <c r="G30" s="32" t="str" cm="1">
        <f t="array" ref="G30">_xlfn.XLOOKUP(Table5[[#This Row],[Symbol]],Table36[[#All],[Symbol]],Table36[[#All],[Security Description]])</f>
        <v>AIRBNB INC COM CL A</v>
      </c>
      <c r="H30" s="39">
        <v>45261</v>
      </c>
      <c r="I30" s="6">
        <v>1</v>
      </c>
      <c r="J30" s="36">
        <v>132.44999999999999</v>
      </c>
      <c r="K30" s="35"/>
      <c r="L30" s="6"/>
      <c r="M30" s="6"/>
      <c r="N30" s="36" t="s">
        <v>95</v>
      </c>
    </row>
    <row r="31" spans="2:14" ht="16" customHeight="1" x14ac:dyDescent="0.2">
      <c r="B31" s="5" t="s">
        <v>25</v>
      </c>
      <c r="C31" s="6" t="str" cm="1">
        <f t="array" ref="C31">_xlfn.XLOOKUP(Table5[[#This Row],[Account]],Table25[[#All],[Account]],Table25[[#All],[Account Type2]])</f>
        <v>Roth IRA</v>
      </c>
      <c r="D31" s="6" t="str" cm="1">
        <f t="array" ref="D31">_xlfn.XLOOKUP(Table5[[#This Row],[Account]],Table25[[#All],[Account]],Table25[[#All],[Owner]])</f>
        <v>Shaun</v>
      </c>
      <c r="E31" t="str">
        <f>IF(Table5[[#This Row],[Date Sold]]&lt;&gt;"","Closed","Open")</f>
        <v>Closed</v>
      </c>
      <c r="F31" s="40" t="s">
        <v>98</v>
      </c>
      <c r="G31" s="32" t="str" cm="1">
        <f t="array" ref="G31">_xlfn.XLOOKUP(Table5[[#This Row],[Symbol]],Table36[[#All],[Symbol]],Table36[[#All],[Security Description]])</f>
        <v>AMAZON.COM INC</v>
      </c>
      <c r="H31" s="38">
        <v>41715</v>
      </c>
      <c r="I31" s="6">
        <v>1</v>
      </c>
      <c r="J31" s="36">
        <v>383.54</v>
      </c>
      <c r="K31" s="35">
        <v>43143</v>
      </c>
      <c r="L31" s="6"/>
      <c r="M31" s="41">
        <v>1</v>
      </c>
      <c r="N31" s="36">
        <v>1379.58</v>
      </c>
    </row>
    <row r="32" spans="2:14" ht="16" customHeight="1" x14ac:dyDescent="0.2">
      <c r="B32" s="5" t="s">
        <v>25</v>
      </c>
      <c r="C32" s="6" t="str" cm="1">
        <f t="array" ref="C32">_xlfn.XLOOKUP(Table5[[#This Row],[Account]],Table25[[#All],[Account]],Table25[[#All],[Account Type2]])</f>
        <v>Roth IRA</v>
      </c>
      <c r="D32" s="6" t="str" cm="1">
        <f t="array" ref="D32">_xlfn.XLOOKUP(Table5[[#This Row],[Account]],Table25[[#All],[Account]],Table25[[#All],[Owner]])</f>
        <v>Shaun</v>
      </c>
      <c r="E32" t="str">
        <f>IF(Table5[[#This Row],[Date Sold]]&lt;&gt;"","Closed","Open")</f>
        <v>Open</v>
      </c>
      <c r="F32" s="40" t="s">
        <v>98</v>
      </c>
      <c r="G32" s="32" t="str" cm="1">
        <f t="array" ref="G32">_xlfn.XLOOKUP(Table5[[#This Row],[Symbol]],Table36[[#All],[Symbol]],Table36[[#All],[Security Description]])</f>
        <v>AMAZON.COM INC</v>
      </c>
      <c r="H32" s="38">
        <v>41857</v>
      </c>
      <c r="I32" s="6">
        <v>1</v>
      </c>
      <c r="J32" s="36">
        <v>314.8</v>
      </c>
      <c r="K32" s="35"/>
      <c r="L32" s="6"/>
      <c r="M32" s="41"/>
      <c r="N32" s="36" t="s">
        <v>95</v>
      </c>
    </row>
    <row r="33" spans="2:14" ht="16" customHeight="1" x14ac:dyDescent="0.2">
      <c r="B33" s="5" t="s">
        <v>25</v>
      </c>
      <c r="C33" s="6" t="str" cm="1">
        <f t="array" ref="C33">_xlfn.XLOOKUP(Table5[[#This Row],[Account]],Table25[[#All],[Account]],Table25[[#All],[Account Type2]])</f>
        <v>Roth IRA</v>
      </c>
      <c r="D33" s="6" t="str" cm="1">
        <f t="array" ref="D33">_xlfn.XLOOKUP(Table5[[#This Row],[Account]],Table25[[#All],[Account]],Table25[[#All],[Owner]])</f>
        <v>Shaun</v>
      </c>
      <c r="E33" t="str">
        <f>IF(Table5[[#This Row],[Date Sold]]&lt;&gt;"","Closed","Open")</f>
        <v>Closed</v>
      </c>
      <c r="F33" s="40" t="s">
        <v>98</v>
      </c>
      <c r="G33" s="32" t="str" cm="1">
        <f t="array" ref="G33">_xlfn.XLOOKUP(Table5[[#This Row],[Symbol]],Table36[[#All],[Symbol]],Table36[[#All],[Security Description]])</f>
        <v>AMAZON.COM INC</v>
      </c>
      <c r="H33" s="38">
        <v>41857</v>
      </c>
      <c r="I33" s="6">
        <v>1</v>
      </c>
      <c r="J33" s="36">
        <v>314.8</v>
      </c>
      <c r="K33" s="35">
        <v>44074</v>
      </c>
      <c r="L33" s="6"/>
      <c r="M33" s="41">
        <v>1</v>
      </c>
      <c r="N33" s="36">
        <v>3476.16</v>
      </c>
    </row>
    <row r="34" spans="2:14" ht="16" customHeight="1" x14ac:dyDescent="0.2">
      <c r="B34" s="5" t="s">
        <v>25</v>
      </c>
      <c r="C34" s="6" t="str" cm="1">
        <f t="array" ref="C34">_xlfn.XLOOKUP(Table5[[#This Row],[Account]],Table25[[#All],[Account]],Table25[[#All],[Account Type2]])</f>
        <v>Roth IRA</v>
      </c>
      <c r="D34" s="6" t="str" cm="1">
        <f t="array" ref="D34">_xlfn.XLOOKUP(Table5[[#This Row],[Account]],Table25[[#All],[Account]],Table25[[#All],[Owner]])</f>
        <v>Shaun</v>
      </c>
      <c r="E34" t="str">
        <f>IF(Table5[[#This Row],[Date Sold]]&lt;&gt;"","Closed","Open")</f>
        <v>Open</v>
      </c>
      <c r="F34" s="40" t="s">
        <v>98</v>
      </c>
      <c r="G34" s="32" t="str" cm="1">
        <f t="array" ref="G34">_xlfn.XLOOKUP(Table5[[#This Row],[Symbol]],Table36[[#All],[Symbol]],Table36[[#All],[Security Description]])</f>
        <v>AMAZON.COM INC</v>
      </c>
      <c r="H34" s="38">
        <v>41988</v>
      </c>
      <c r="I34" s="6">
        <v>1</v>
      </c>
      <c r="J34" s="36">
        <v>307.81</v>
      </c>
      <c r="K34" s="35"/>
      <c r="L34" s="6"/>
      <c r="M34" s="41"/>
      <c r="N34" s="36" t="s">
        <v>95</v>
      </c>
    </row>
    <row r="35" spans="2:14" ht="16" customHeight="1" x14ac:dyDescent="0.2">
      <c r="B35" s="5" t="s">
        <v>25</v>
      </c>
      <c r="C35" s="6" t="str" cm="1">
        <f t="array" ref="C35">_xlfn.XLOOKUP(Table5[[#This Row],[Account]],Table25[[#All],[Account]],Table25[[#All],[Account Type2]])</f>
        <v>Roth IRA</v>
      </c>
      <c r="D35" s="6" t="str" cm="1">
        <f t="array" ref="D35">_xlfn.XLOOKUP(Table5[[#This Row],[Account]],Table25[[#All],[Account]],Table25[[#All],[Owner]])</f>
        <v>Shaun</v>
      </c>
      <c r="E35" t="str">
        <f>IF(Table5[[#This Row],[Date Sold]]&lt;&gt;"","Closed","Open")</f>
        <v>Closed</v>
      </c>
      <c r="F35" s="40" t="s">
        <v>98</v>
      </c>
      <c r="G35" s="32" t="str" cm="1">
        <f t="array" ref="G35">_xlfn.XLOOKUP(Table5[[#This Row],[Symbol]],Table36[[#All],[Symbol]],Table36[[#All],[Security Description]])</f>
        <v>AMAZON.COM INC</v>
      </c>
      <c r="H35" s="38">
        <v>41988</v>
      </c>
      <c r="I35" s="6">
        <v>1</v>
      </c>
      <c r="J35" s="36">
        <v>307.81</v>
      </c>
      <c r="K35" s="35">
        <v>45148</v>
      </c>
      <c r="L35" s="6" t="s">
        <v>96</v>
      </c>
      <c r="M35" s="41">
        <v>2</v>
      </c>
      <c r="N35" s="36">
        <v>138.56</v>
      </c>
    </row>
    <row r="36" spans="2:14" ht="16" customHeight="1" x14ac:dyDescent="0.2">
      <c r="B36" s="5" t="s">
        <v>25</v>
      </c>
      <c r="C36" s="6" t="str" cm="1">
        <f t="array" ref="C36">_xlfn.XLOOKUP(Table5[[#This Row],[Account]],Table25[[#All],[Account]],Table25[[#All],[Account Type2]])</f>
        <v>Roth IRA</v>
      </c>
      <c r="D36" s="6" t="str" cm="1">
        <f t="array" ref="D36">_xlfn.XLOOKUP(Table5[[#This Row],[Account]],Table25[[#All],[Account]],Table25[[#All],[Owner]])</f>
        <v>Shaun</v>
      </c>
      <c r="E36" t="str">
        <f>IF(Table5[[#This Row],[Date Sold]]&lt;&gt;"","Closed","Open")</f>
        <v>Closed</v>
      </c>
      <c r="F36" s="40" t="s">
        <v>98</v>
      </c>
      <c r="G36" s="32" t="str" cm="1">
        <f t="array" ref="G36">_xlfn.XLOOKUP(Table5[[#This Row],[Symbol]],Table36[[#All],[Symbol]],Table36[[#All],[Security Description]])</f>
        <v>AMAZON.COM INC</v>
      </c>
      <c r="H36" s="38">
        <v>41988</v>
      </c>
      <c r="I36" s="6">
        <v>1</v>
      </c>
      <c r="J36" s="36">
        <v>307.81</v>
      </c>
      <c r="K36" s="35">
        <v>45608</v>
      </c>
      <c r="L36" s="6" t="s">
        <v>96</v>
      </c>
      <c r="M36" s="41">
        <v>5</v>
      </c>
      <c r="N36" s="36">
        <v>206.55</v>
      </c>
    </row>
    <row r="37" spans="2:14" ht="16" customHeight="1" x14ac:dyDescent="0.2">
      <c r="B37" s="5" t="s">
        <v>25</v>
      </c>
      <c r="C37" s="6" t="str" cm="1">
        <f t="array" ref="C37">_xlfn.XLOOKUP(Table5[[#This Row],[Account]],Table25[[#All],[Account]],Table25[[#All],[Account Type2]])</f>
        <v>Roth IRA</v>
      </c>
      <c r="D37" s="6" t="str" cm="1">
        <f t="array" ref="D37">_xlfn.XLOOKUP(Table5[[#This Row],[Account]],Table25[[#All],[Account]],Table25[[#All],[Owner]])</f>
        <v>Shaun</v>
      </c>
      <c r="E37" t="str">
        <f>IF(Table5[[#This Row],[Date Sold]]&lt;&gt;"","Closed","Open")</f>
        <v>Closed</v>
      </c>
      <c r="F37" s="40" t="s">
        <v>98</v>
      </c>
      <c r="G37" s="32" t="str" cm="1">
        <f t="array" ref="G37">_xlfn.XLOOKUP(Table5[[#This Row],[Symbol]],Table36[[#All],[Symbol]],Table36[[#All],[Security Description]])</f>
        <v>AMAZON.COM INC</v>
      </c>
      <c r="H37" s="38">
        <v>42354</v>
      </c>
      <c r="I37" s="6">
        <v>1</v>
      </c>
      <c r="J37" s="36">
        <v>667.40499999999997</v>
      </c>
      <c r="K37" s="35">
        <v>44074</v>
      </c>
      <c r="L37" s="6"/>
      <c r="M37" s="41">
        <v>2</v>
      </c>
      <c r="N37" s="36">
        <v>3476.15</v>
      </c>
    </row>
    <row r="38" spans="2:14" ht="16" customHeight="1" x14ac:dyDescent="0.2">
      <c r="B38" s="5" t="s">
        <v>25</v>
      </c>
      <c r="C38" s="6" t="str" cm="1">
        <f t="array" ref="C38">_xlfn.XLOOKUP(Table5[[#This Row],[Account]],Table25[[#All],[Account]],Table25[[#All],[Account Type2]])</f>
        <v>Roth IRA</v>
      </c>
      <c r="D38" s="6" t="str" cm="1">
        <f t="array" ref="D38">_xlfn.XLOOKUP(Table5[[#This Row],[Account]],Table25[[#All],[Account]],Table25[[#All],[Owner]])</f>
        <v>Shaun</v>
      </c>
      <c r="E38" t="str">
        <f>IF(Table5[[#This Row],[Date Sold]]&lt;&gt;"","Closed","Open")</f>
        <v>Closed</v>
      </c>
      <c r="F38" s="40" t="s">
        <v>98</v>
      </c>
      <c r="G38" s="32" t="str" cm="1">
        <f t="array" ref="G38">_xlfn.XLOOKUP(Table5[[#This Row],[Symbol]],Table36[[#All],[Symbol]],Table36[[#All],[Security Description]])</f>
        <v>AMAZON.COM INC</v>
      </c>
      <c r="H38" s="38">
        <v>43837</v>
      </c>
      <c r="I38" s="6">
        <v>1</v>
      </c>
      <c r="J38" s="36">
        <v>1909.75</v>
      </c>
      <c r="K38" s="35">
        <v>44074</v>
      </c>
      <c r="L38" s="6"/>
      <c r="M38" s="41">
        <v>1</v>
      </c>
      <c r="N38" s="36">
        <v>3476.15</v>
      </c>
    </row>
    <row r="39" spans="2:14" ht="16" customHeight="1" x14ac:dyDescent="0.2">
      <c r="B39" s="5" t="s">
        <v>25</v>
      </c>
      <c r="C39" s="6" t="str" cm="1">
        <f t="array" ref="C39">_xlfn.XLOOKUP(Table5[[#This Row],[Account]],Table25[[#All],[Account]],Table25[[#All],[Account Type2]])</f>
        <v>Roth IRA</v>
      </c>
      <c r="D39" s="6" t="str" cm="1">
        <f t="array" ref="D39">_xlfn.XLOOKUP(Table5[[#This Row],[Account]],Table25[[#All],[Account]],Table25[[#All],[Owner]])</f>
        <v>Shaun</v>
      </c>
      <c r="E39" t="str">
        <f>IF(Table5[[#This Row],[Date Sold]]&lt;&gt;"","Closed","Open")</f>
        <v>Open</v>
      </c>
      <c r="F39" s="40" t="s">
        <v>98</v>
      </c>
      <c r="G39" s="32" t="str" cm="1">
        <f t="array" ref="G39">_xlfn.XLOOKUP(Table5[[#This Row],[Symbol]],Table36[[#All],[Symbol]],Table36[[#All],[Security Description]])</f>
        <v>AMAZON.COM INC</v>
      </c>
      <c r="H39" s="38">
        <v>44019</v>
      </c>
      <c r="I39" s="6">
        <v>1</v>
      </c>
      <c r="J39" s="36">
        <v>3041.92</v>
      </c>
      <c r="K39" s="35"/>
      <c r="L39" s="6"/>
      <c r="M39" s="41"/>
      <c r="N39" s="36" t="s">
        <v>95</v>
      </c>
    </row>
    <row r="40" spans="2:14" ht="16" customHeight="1" x14ac:dyDescent="0.2">
      <c r="B40" s="5" t="s">
        <v>25</v>
      </c>
      <c r="C40" s="6" t="str" cm="1">
        <f t="array" ref="C40">_xlfn.XLOOKUP(Table5[[#This Row],[Account]],Table25[[#All],[Account]],Table25[[#All],[Account Type2]])</f>
        <v>Roth IRA</v>
      </c>
      <c r="D40" s="6" t="str" cm="1">
        <f t="array" ref="D40">_xlfn.XLOOKUP(Table5[[#This Row],[Account]],Table25[[#All],[Account]],Table25[[#All],[Owner]])</f>
        <v>Shaun</v>
      </c>
      <c r="E40" t="str">
        <f>IF(Table5[[#This Row],[Date Sold]]&lt;&gt;"","Closed","Open")</f>
        <v>Open</v>
      </c>
      <c r="F40" s="40" t="s">
        <v>98</v>
      </c>
      <c r="G40" s="32" t="str" cm="1">
        <f t="array" ref="G40">_xlfn.XLOOKUP(Table5[[#This Row],[Symbol]],Table36[[#All],[Symbol]],Table36[[#All],[Security Description]])</f>
        <v>AMAZON.COM INC</v>
      </c>
      <c r="H40" s="38">
        <v>44370</v>
      </c>
      <c r="I40" s="6">
        <v>1</v>
      </c>
      <c r="J40" s="36">
        <v>3507.14</v>
      </c>
      <c r="K40" s="35"/>
      <c r="L40" s="6"/>
      <c r="M40" s="41"/>
      <c r="N40" s="36" t="s">
        <v>95</v>
      </c>
    </row>
    <row r="41" spans="2:14" ht="16" customHeight="1" x14ac:dyDescent="0.2">
      <c r="B41" s="5" t="s">
        <v>25</v>
      </c>
      <c r="C41" s="6" t="str" cm="1">
        <f t="array" ref="C41">_xlfn.XLOOKUP(Table5[[#This Row],[Account]],Table25[[#All],[Account]],Table25[[#All],[Account Type2]])</f>
        <v>Roth IRA</v>
      </c>
      <c r="D41" s="6" t="str" cm="1">
        <f t="array" ref="D41">_xlfn.XLOOKUP(Table5[[#This Row],[Account]],Table25[[#All],[Account]],Table25[[#All],[Owner]])</f>
        <v>Shaun</v>
      </c>
      <c r="E41" t="str">
        <f>IF(Table5[[#This Row],[Date Sold]]&lt;&gt;"","Closed","Open")</f>
        <v>Open</v>
      </c>
      <c r="F41" s="40" t="s">
        <v>98</v>
      </c>
      <c r="G41" s="32" t="str" cm="1">
        <f t="array" ref="G41">_xlfn.XLOOKUP(Table5[[#This Row],[Symbol]],Table36[[#All],[Symbol]],Table36[[#All],[Security Description]])</f>
        <v>AMAZON.COM INC</v>
      </c>
      <c r="H41" s="39">
        <v>45293</v>
      </c>
      <c r="I41" s="6">
        <v>1</v>
      </c>
      <c r="J41" s="36">
        <v>149.1</v>
      </c>
      <c r="K41" s="35"/>
      <c r="L41" s="6"/>
      <c r="M41" s="41"/>
      <c r="N41" s="36" t="s">
        <v>95</v>
      </c>
    </row>
    <row r="42" spans="2:14" ht="16" customHeight="1" x14ac:dyDescent="0.2">
      <c r="B42" s="7" t="s">
        <v>28</v>
      </c>
      <c r="C42" s="6" t="str" cm="1">
        <f t="array" ref="C42">_xlfn.XLOOKUP(Table5[[#This Row],[Account]],Table25[[#All],[Account]],Table25[[#All],[Account Type2]])</f>
        <v>HSA</v>
      </c>
      <c r="D42" s="6" t="str" cm="1">
        <f t="array" ref="D42">_xlfn.XLOOKUP(Table5[[#This Row],[Account]],Table25[[#All],[Account]],Table25[[#All],[Owner]])</f>
        <v>Jackson</v>
      </c>
      <c r="E42" t="str">
        <f>IF(Table5[[#This Row],[Date Sold]]&lt;&gt;"","Closed","Open")</f>
        <v>Open</v>
      </c>
      <c r="F42" s="40" t="s">
        <v>99</v>
      </c>
      <c r="G42" s="32" t="str" cm="1">
        <f t="array" ref="G42">_xlfn.XLOOKUP(Table5[[#This Row],[Symbol]],Table36[[#All],[Symbol]],Table36[[#All],[Security Description]])</f>
        <v>DEERE &amp; CO</v>
      </c>
      <c r="H42" s="39">
        <v>45273</v>
      </c>
      <c r="I42" s="6">
        <v>1</v>
      </c>
      <c r="J42" s="36">
        <v>377.01</v>
      </c>
      <c r="K42" s="35"/>
      <c r="L42" s="6"/>
      <c r="M42" s="41"/>
      <c r="N42" s="36"/>
    </row>
    <row r="43" spans="2:14" ht="16" customHeight="1" x14ac:dyDescent="0.2">
      <c r="B43" s="7" t="s">
        <v>28</v>
      </c>
      <c r="C43" s="6" t="str" cm="1">
        <f t="array" ref="C43">_xlfn.XLOOKUP(Table5[[#This Row],[Account]],Table25[[#All],[Account]],Table25[[#All],[Account Type2]])</f>
        <v>HSA</v>
      </c>
      <c r="D43" s="6" t="str" cm="1">
        <f t="array" ref="D43">_xlfn.XLOOKUP(Table5[[#This Row],[Account]],Table25[[#All],[Account]],Table25[[#All],[Owner]])</f>
        <v>Jackson</v>
      </c>
      <c r="E43" t="str">
        <f>IF(Table5[[#This Row],[Date Sold]]&lt;&gt;"","Closed","Open")</f>
        <v>Open</v>
      </c>
      <c r="F43" s="40" t="s">
        <v>99</v>
      </c>
      <c r="G43" s="32" t="str" cm="1">
        <f t="array" ref="G43">_xlfn.XLOOKUP(Table5[[#This Row],[Symbol]],Table36[[#All],[Symbol]],Table36[[#All],[Security Description]])</f>
        <v>DEERE &amp; CO</v>
      </c>
      <c r="H43" s="38">
        <v>45637</v>
      </c>
      <c r="I43" s="6">
        <v>1</v>
      </c>
      <c r="J43" s="36">
        <v>448.03</v>
      </c>
      <c r="K43" s="35"/>
      <c r="L43" s="6"/>
      <c r="M43" s="41"/>
      <c r="N43" s="36"/>
    </row>
    <row r="44" spans="2:14" ht="16" customHeight="1" x14ac:dyDescent="0.2">
      <c r="B44" s="7" t="s">
        <v>28</v>
      </c>
      <c r="C44" s="6" t="str" cm="1">
        <f t="array" ref="C44">_xlfn.XLOOKUP(Table5[[#This Row],[Account]],Table25[[#All],[Account]],Table25[[#All],[Account Type2]])</f>
        <v>HSA</v>
      </c>
      <c r="D44" s="6" t="str" cm="1">
        <f t="array" ref="D44">_xlfn.XLOOKUP(Table5[[#This Row],[Account]],Table25[[#All],[Account]],Table25[[#All],[Owner]])</f>
        <v>Jackson</v>
      </c>
      <c r="E44" t="str">
        <f>IF(Table5[[#This Row],[Date Sold]]&lt;&gt;"","Closed","Open")</f>
        <v>Open</v>
      </c>
      <c r="F44" s="40" t="s">
        <v>99</v>
      </c>
      <c r="G44" s="32" t="str" cm="1">
        <f t="array" ref="G44">_xlfn.XLOOKUP(Table5[[#This Row],[Symbol]],Table36[[#All],[Symbol]],Table36[[#All],[Security Description]])</f>
        <v>DEERE &amp; CO</v>
      </c>
      <c r="H44" s="39">
        <v>46002</v>
      </c>
      <c r="I44" s="6">
        <v>1</v>
      </c>
      <c r="J44" s="36">
        <v>475.94</v>
      </c>
      <c r="K44" s="35"/>
      <c r="L44" s="6"/>
      <c r="M44" s="41"/>
      <c r="N44" s="36"/>
    </row>
    <row r="45" spans="2:14" ht="16" customHeight="1" x14ac:dyDescent="0.2">
      <c r="B45" s="7" t="s">
        <v>28</v>
      </c>
      <c r="C45" s="6" t="str" cm="1">
        <f t="array" ref="C45">_xlfn.XLOOKUP(Table5[[#This Row],[Account]],Table25[[#All],[Account]],Table25[[#All],[Account Type2]])</f>
        <v>HSA</v>
      </c>
      <c r="D45" s="6" t="str" cm="1">
        <f t="array" ref="D45">_xlfn.XLOOKUP(Table5[[#This Row],[Account]],Table25[[#All],[Account]],Table25[[#All],[Owner]])</f>
        <v>Jackson</v>
      </c>
      <c r="E45" t="str">
        <f>IF(Table5[[#This Row],[Date Sold]]&lt;&gt;"","Closed","Open")</f>
        <v>Open</v>
      </c>
      <c r="F45" s="40" t="s">
        <v>99</v>
      </c>
      <c r="G45" s="32" t="str" cm="1">
        <f t="array" ref="G45">_xlfn.XLOOKUP(Table5[[#This Row],[Symbol]],Table36[[#All],[Symbol]],Table36[[#All],[Security Description]])</f>
        <v>DEERE &amp; CO</v>
      </c>
      <c r="H45" s="38">
        <v>46004</v>
      </c>
      <c r="I45" s="6">
        <v>1</v>
      </c>
      <c r="J45" s="36">
        <v>484.8</v>
      </c>
      <c r="K45" s="35"/>
      <c r="L45" s="6"/>
      <c r="M45" s="41"/>
      <c r="N45" s="36"/>
    </row>
    <row r="46" spans="2:14" ht="16" customHeight="1" x14ac:dyDescent="0.2">
      <c r="B46" s="7" t="s">
        <v>28</v>
      </c>
      <c r="C46" s="6" t="str" cm="1">
        <f t="array" ref="C46">_xlfn.XLOOKUP(Table5[[#This Row],[Account]],Table25[[#All],[Account]],Table25[[#All],[Account Type2]])</f>
        <v>HSA</v>
      </c>
      <c r="D46" s="6" t="str" cm="1">
        <f t="array" ref="D46">_xlfn.XLOOKUP(Table5[[#This Row],[Account]],Table25[[#All],[Account]],Table25[[#All],[Owner]])</f>
        <v>Jackson</v>
      </c>
      <c r="E46" t="str">
        <f>IF(Table5[[#This Row],[Date Sold]]&lt;&gt;"","Closed","Open")</f>
        <v>Open</v>
      </c>
      <c r="F46" s="40" t="s">
        <v>100</v>
      </c>
      <c r="G46" s="32" t="str" cm="1">
        <f t="array" ref="G46">_xlfn.XLOOKUP(Table5[[#This Row],[Symbol]],Table36[[#All],[Symbol]],Table36[[#All],[Security Description]])</f>
        <v>MICROSOFT CORP</v>
      </c>
      <c r="H46" s="38">
        <v>44305</v>
      </c>
      <c r="I46" s="6">
        <v>1</v>
      </c>
      <c r="J46" s="36">
        <v>258.75</v>
      </c>
      <c r="K46" s="35"/>
      <c r="L46" s="6"/>
      <c r="M46" s="41"/>
      <c r="N46" s="36"/>
    </row>
    <row r="47" spans="2:14" ht="16" customHeight="1" x14ac:dyDescent="0.2">
      <c r="B47" s="5" t="s">
        <v>25</v>
      </c>
      <c r="C47" s="6" t="str" cm="1">
        <f t="array" ref="C47">_xlfn.XLOOKUP(Table5[[#This Row],[Account]],Table25[[#All],[Account]],Table25[[#All],[Account Type2]])</f>
        <v>Roth IRA</v>
      </c>
      <c r="D47" s="6" t="str" cm="1">
        <f t="array" ref="D47">_xlfn.XLOOKUP(Table5[[#This Row],[Account]],Table25[[#All],[Account]],Table25[[#All],[Owner]])</f>
        <v>Shaun</v>
      </c>
      <c r="E47" t="str">
        <f>IF(Table5[[#This Row],[Date Sold]]&lt;&gt;"","Closed","Open")</f>
        <v>Open</v>
      </c>
      <c r="F47" s="40" t="s">
        <v>100</v>
      </c>
      <c r="G47" s="32" t="str" cm="1">
        <f t="array" ref="G47">_xlfn.XLOOKUP(Table5[[#This Row],[Symbol]],Table36[[#All],[Symbol]],Table36[[#All],[Security Description]])</f>
        <v>MICROSOFT CORP</v>
      </c>
      <c r="H47" s="39">
        <v>44508</v>
      </c>
      <c r="I47" s="6">
        <v>1</v>
      </c>
      <c r="J47" s="36">
        <v>335.64</v>
      </c>
      <c r="K47" s="35"/>
      <c r="L47" s="6"/>
      <c r="M47" s="41"/>
      <c r="N47" s="36"/>
    </row>
    <row r="48" spans="2:14" ht="16" customHeight="1" x14ac:dyDescent="0.2">
      <c r="B48" s="5" t="s">
        <v>25</v>
      </c>
      <c r="C48" s="6" t="str" cm="1">
        <f t="array" ref="C48">_xlfn.XLOOKUP(Table5[[#This Row],[Account]],Table25[[#All],[Account]],Table25[[#All],[Account Type2]])</f>
        <v>Roth IRA</v>
      </c>
      <c r="D48" s="6" t="str" cm="1">
        <f t="array" ref="D48">_xlfn.XLOOKUP(Table5[[#This Row],[Account]],Table25[[#All],[Account]],Table25[[#All],[Owner]])</f>
        <v>Shaun</v>
      </c>
      <c r="E48" t="str">
        <f>IF(Table5[[#This Row],[Date Sold]]&lt;&gt;"","Closed","Open")</f>
        <v>Open</v>
      </c>
      <c r="F48" s="40" t="s">
        <v>100</v>
      </c>
      <c r="G48" s="32" t="str" cm="1">
        <f t="array" ref="G48">_xlfn.XLOOKUP(Table5[[#This Row],[Symbol]],Table36[[#All],[Symbol]],Table36[[#All],[Security Description]])</f>
        <v>MICROSOFT CORP</v>
      </c>
      <c r="H48" s="38">
        <v>44599</v>
      </c>
      <c r="I48" s="6">
        <v>1</v>
      </c>
      <c r="J48" s="36">
        <v>305.17</v>
      </c>
      <c r="K48" s="35"/>
      <c r="L48" s="6"/>
      <c r="M48" s="41"/>
      <c r="N48" s="36"/>
    </row>
    <row r="49" spans="2:14" ht="16" customHeight="1" x14ac:dyDescent="0.2">
      <c r="B49" s="7" t="s">
        <v>28</v>
      </c>
      <c r="C49" s="6" t="str" cm="1">
        <f t="array" ref="C49">_xlfn.XLOOKUP(Table5[[#This Row],[Account]],Table25[[#All],[Account]],Table25[[#All],[Account Type2]])</f>
        <v>HSA</v>
      </c>
      <c r="D49" s="6" t="str" cm="1">
        <f t="array" ref="D49">_xlfn.XLOOKUP(Table5[[#This Row],[Account]],Table25[[#All],[Account]],Table25[[#All],[Owner]])</f>
        <v>Jackson</v>
      </c>
      <c r="E49" t="str">
        <f>IF(Table5[[#This Row],[Date Sold]]&lt;&gt;"","Closed","Open")</f>
        <v>Open</v>
      </c>
      <c r="F49" s="40" t="s">
        <v>100</v>
      </c>
      <c r="G49" s="32" t="str" cm="1">
        <f t="array" ref="G49">_xlfn.XLOOKUP(Table5[[#This Row],[Symbol]],Table36[[#All],[Symbol]],Table36[[#All],[Security Description]])</f>
        <v>MICROSOFT CORP</v>
      </c>
      <c r="H49" s="38">
        <v>44657</v>
      </c>
      <c r="I49" s="6">
        <v>1</v>
      </c>
      <c r="J49" s="36">
        <v>300.51</v>
      </c>
      <c r="K49" s="35"/>
      <c r="L49" s="6"/>
      <c r="M49" s="41"/>
      <c r="N49" s="36"/>
    </row>
    <row r="50" spans="2:14" ht="16" customHeight="1" x14ac:dyDescent="0.2">
      <c r="B50" s="7" t="s">
        <v>28</v>
      </c>
      <c r="C50" s="6" t="str" cm="1">
        <f t="array" ref="C50">_xlfn.XLOOKUP(Table5[[#This Row],[Account]],Table25[[#All],[Account]],Table25[[#All],[Account Type2]])</f>
        <v>HSA</v>
      </c>
      <c r="D50" s="6" t="str" cm="1">
        <f t="array" ref="D50">_xlfn.XLOOKUP(Table5[[#This Row],[Account]],Table25[[#All],[Account]],Table25[[#All],[Owner]])</f>
        <v>Jackson</v>
      </c>
      <c r="E50" t="str">
        <f>IF(Table5[[#This Row],[Date Sold]]&lt;&gt;"","Closed","Open")</f>
        <v>Open</v>
      </c>
      <c r="F50" s="40" t="s">
        <v>100</v>
      </c>
      <c r="G50" s="32" t="str" cm="1">
        <f t="array" ref="G50">_xlfn.XLOOKUP(Table5[[#This Row],[Symbol]],Table36[[#All],[Symbol]],Table36[[#All],[Security Description]])</f>
        <v>MICROSOFT CORP</v>
      </c>
      <c r="H50" s="39">
        <v>45236</v>
      </c>
      <c r="I50" s="6">
        <v>1</v>
      </c>
      <c r="J50" s="36">
        <v>357.1</v>
      </c>
      <c r="K50" s="35"/>
      <c r="L50" s="6"/>
      <c r="M50" s="41"/>
      <c r="N50" s="36"/>
    </row>
    <row r="51" spans="2:14" ht="16" customHeight="1" x14ac:dyDescent="0.2">
      <c r="B51" s="6" t="s">
        <v>22</v>
      </c>
      <c r="C51" s="6" t="str" cm="1">
        <f t="array" ref="C51">_xlfn.XLOOKUP(Table5[[#This Row],[Account]],Table25[[#All],[Account]],Table25[[#All],[Account Type2]])</f>
        <v>Brokerage</v>
      </c>
      <c r="D51" s="6" t="str" cm="1">
        <f t="array" ref="D51">_xlfn.XLOOKUP(Table5[[#This Row],[Account]],Table25[[#All],[Account]],Table25[[#All],[Owner]])</f>
        <v>Drew</v>
      </c>
      <c r="E51" s="6" t="str">
        <f>IF(Table5[[#This Row],[Date Sold]]&lt;&gt;"","Closed","Open")</f>
        <v>Open</v>
      </c>
      <c r="F51" s="40" t="s">
        <v>101</v>
      </c>
      <c r="G51" s="32" t="str" cm="1">
        <f t="array" ref="G51">_xlfn.XLOOKUP(Table5[[#This Row],[Symbol]],Table36[[#All],[Symbol]],Table36[[#All],[Security Description]])</f>
        <v>NETFLIX INC</v>
      </c>
      <c r="H51" s="38">
        <v>41758</v>
      </c>
      <c r="I51" s="6">
        <v>1</v>
      </c>
      <c r="J51" s="36">
        <v>314.86</v>
      </c>
      <c r="K51" s="35"/>
      <c r="L51" s="6"/>
      <c r="M51" s="41"/>
      <c r="N51" s="36"/>
    </row>
    <row r="52" spans="2:14" ht="16" customHeight="1" x14ac:dyDescent="0.2">
      <c r="B52" s="6" t="s">
        <v>22</v>
      </c>
      <c r="C52" s="6" t="str" cm="1">
        <f t="array" ref="C52">_xlfn.XLOOKUP(Table5[[#This Row],[Account]],Table25[[#All],[Account]],Table25[[#All],[Account Type2]])</f>
        <v>Brokerage</v>
      </c>
      <c r="D52" s="6" t="str" cm="1">
        <f t="array" ref="D52">_xlfn.XLOOKUP(Table5[[#This Row],[Account]],Table25[[#All],[Account]],Table25[[#All],[Owner]])</f>
        <v>Drew</v>
      </c>
      <c r="E52" s="6" t="str">
        <f>IF(Table5[[#This Row],[Date Sold]]&lt;&gt;"","Closed","Open")</f>
        <v>Open</v>
      </c>
      <c r="F52" s="40" t="s">
        <v>101</v>
      </c>
      <c r="G52" s="32" t="str" cm="1">
        <f t="array" ref="G52">_xlfn.XLOOKUP(Table5[[#This Row],[Symbol]],Table36[[#All],[Symbol]],Table36[[#All],[Security Description]])</f>
        <v>NETFLIX INC</v>
      </c>
      <c r="H52" s="38">
        <v>41758</v>
      </c>
      <c r="I52" s="6">
        <v>1</v>
      </c>
      <c r="J52" s="36">
        <v>314.85999999999996</v>
      </c>
      <c r="K52" s="35"/>
      <c r="L52" s="6"/>
      <c r="M52" s="41"/>
      <c r="N52" s="36"/>
    </row>
    <row r="53" spans="2:14" ht="16" customHeight="1" x14ac:dyDescent="0.2">
      <c r="B53" s="6" t="s">
        <v>22</v>
      </c>
      <c r="C53" s="6" t="str" cm="1">
        <f t="array" ref="C53">_xlfn.XLOOKUP(Table5[[#This Row],[Account]],Table25[[#All],[Account]],Table25[[#All],[Account Type2]])</f>
        <v>Brokerage</v>
      </c>
      <c r="D53" s="6" t="str" cm="1">
        <f t="array" ref="D53">_xlfn.XLOOKUP(Table5[[#This Row],[Account]],Table25[[#All],[Account]],Table25[[#All],[Owner]])</f>
        <v>Drew</v>
      </c>
      <c r="E53" s="6" t="str">
        <f>IF(Table5[[#This Row],[Date Sold]]&lt;&gt;"","Closed","Open")</f>
        <v>Open</v>
      </c>
      <c r="F53" s="40" t="s">
        <v>101</v>
      </c>
      <c r="G53" s="32" t="str" cm="1">
        <f t="array" ref="G53">_xlfn.XLOOKUP(Table5[[#This Row],[Symbol]],Table36[[#All],[Symbol]],Table36[[#All],[Security Description]])</f>
        <v>NETFLIX INC</v>
      </c>
      <c r="H53" s="38">
        <v>41758</v>
      </c>
      <c r="I53" s="6">
        <v>1</v>
      </c>
      <c r="J53" s="36">
        <v>314.85999999999996</v>
      </c>
      <c r="K53" s="35"/>
      <c r="L53" s="6"/>
      <c r="M53" s="41"/>
      <c r="N53" s="36"/>
    </row>
    <row r="54" spans="2:14" ht="16" customHeight="1" x14ac:dyDescent="0.2">
      <c r="B54" s="6" t="s">
        <v>22</v>
      </c>
      <c r="C54" s="6" t="str" cm="1">
        <f t="array" ref="C54">_xlfn.XLOOKUP(Table5[[#This Row],[Account]],Table25[[#All],[Account]],Table25[[#All],[Account Type2]])</f>
        <v>Brokerage</v>
      </c>
      <c r="D54" s="6" t="str" cm="1">
        <f t="array" ref="D54">_xlfn.XLOOKUP(Table5[[#This Row],[Account]],Table25[[#All],[Account]],Table25[[#All],[Owner]])</f>
        <v>Drew</v>
      </c>
      <c r="E54" s="6" t="str">
        <f>IF(Table5[[#This Row],[Date Sold]]&lt;&gt;"","Closed","Open")</f>
        <v>Open</v>
      </c>
      <c r="F54" s="40" t="s">
        <v>101</v>
      </c>
      <c r="G54" s="32" t="str" cm="1">
        <f t="array" ref="G54">_xlfn.XLOOKUP(Table5[[#This Row],[Symbol]],Table36[[#All],[Symbol]],Table36[[#All],[Security Description]])</f>
        <v>NETFLIX INC</v>
      </c>
      <c r="H54" s="38">
        <v>41758</v>
      </c>
      <c r="I54" s="6">
        <v>1</v>
      </c>
      <c r="J54" s="36">
        <v>314.85999999999996</v>
      </c>
      <c r="K54" s="35"/>
      <c r="L54" s="6"/>
      <c r="M54" s="41"/>
      <c r="N54" s="36"/>
    </row>
    <row r="55" spans="2:14" ht="16" customHeight="1" x14ac:dyDescent="0.2">
      <c r="B55" s="6" t="s">
        <v>22</v>
      </c>
      <c r="C55" s="6" t="str" cm="1">
        <f t="array" ref="C55">_xlfn.XLOOKUP(Table5[[#This Row],[Account]],Table25[[#All],[Account]],Table25[[#All],[Account Type2]])</f>
        <v>Brokerage</v>
      </c>
      <c r="D55" s="6" t="str" cm="1">
        <f t="array" ref="D55">_xlfn.XLOOKUP(Table5[[#This Row],[Account]],Table25[[#All],[Account]],Table25[[#All],[Owner]])</f>
        <v>Drew</v>
      </c>
      <c r="E55" s="6" t="str">
        <f>IF(Table5[[#This Row],[Date Sold]]&lt;&gt;"","Closed","Open")</f>
        <v>Open</v>
      </c>
      <c r="F55" s="40" t="s">
        <v>101</v>
      </c>
      <c r="G55" s="32" t="str" cm="1">
        <f t="array" ref="G55">_xlfn.XLOOKUP(Table5[[#This Row],[Symbol]],Table36[[#All],[Symbol]],Table36[[#All],[Security Description]])</f>
        <v>NETFLIX INC</v>
      </c>
      <c r="H55" s="38">
        <v>41758</v>
      </c>
      <c r="I55" s="6">
        <v>1</v>
      </c>
      <c r="J55" s="36">
        <v>314.85999999999996</v>
      </c>
      <c r="K55" s="35"/>
      <c r="L55" s="6"/>
      <c r="M55" s="41"/>
      <c r="N55" s="36"/>
    </row>
    <row r="56" spans="2:14" ht="16" customHeight="1" x14ac:dyDescent="0.2">
      <c r="B56" s="6" t="s">
        <v>22</v>
      </c>
      <c r="C56" s="6" t="str" cm="1">
        <f t="array" ref="C56">_xlfn.XLOOKUP(Table5[[#This Row],[Account]],Table25[[#All],[Account]],Table25[[#All],[Account Type2]])</f>
        <v>Brokerage</v>
      </c>
      <c r="D56" s="6" t="str" cm="1">
        <f t="array" ref="D56">_xlfn.XLOOKUP(Table5[[#This Row],[Account]],Table25[[#All],[Account]],Table25[[#All],[Owner]])</f>
        <v>Drew</v>
      </c>
      <c r="E56" s="6" t="str">
        <f>IF(Table5[[#This Row],[Date Sold]]&lt;&gt;"","Closed","Open")</f>
        <v>Open</v>
      </c>
      <c r="F56" s="40" t="s">
        <v>101</v>
      </c>
      <c r="G56" s="32" t="str" cm="1">
        <f t="array" ref="G56">_xlfn.XLOOKUP(Table5[[#This Row],[Symbol]],Table36[[#All],[Symbol]],Table36[[#All],[Security Description]])</f>
        <v>NETFLIX INC</v>
      </c>
      <c r="H56" s="38">
        <v>41758</v>
      </c>
      <c r="I56" s="6">
        <v>1</v>
      </c>
      <c r="J56" s="36">
        <v>314.85999999999996</v>
      </c>
      <c r="K56" s="35"/>
      <c r="L56" s="6"/>
      <c r="M56" s="41"/>
      <c r="N56" s="36"/>
    </row>
    <row r="57" spans="2:14" ht="16" customHeight="1" x14ac:dyDescent="0.2">
      <c r="B57" s="6" t="s">
        <v>22</v>
      </c>
      <c r="C57" s="6" t="str" cm="1">
        <f t="array" ref="C57">_xlfn.XLOOKUP(Table5[[#This Row],[Account]],Table25[[#All],[Account]],Table25[[#All],[Account Type2]])</f>
        <v>Brokerage</v>
      </c>
      <c r="D57" s="6" t="str" cm="1">
        <f t="array" ref="D57">_xlfn.XLOOKUP(Table5[[#This Row],[Account]],Table25[[#All],[Account]],Table25[[#All],[Owner]])</f>
        <v>Drew</v>
      </c>
      <c r="E57" s="6" t="str">
        <f>IF(Table5[[#This Row],[Date Sold]]&lt;&gt;"","Closed","Open")</f>
        <v>Open</v>
      </c>
      <c r="F57" s="40" t="s">
        <v>101</v>
      </c>
      <c r="G57" s="32" t="str" cm="1">
        <f t="array" ref="G57">_xlfn.XLOOKUP(Table5[[#This Row],[Symbol]],Table36[[#All],[Symbol]],Table36[[#All],[Security Description]])</f>
        <v>NETFLIX INC</v>
      </c>
      <c r="H57" s="38">
        <v>41758</v>
      </c>
      <c r="I57" s="6">
        <v>1</v>
      </c>
      <c r="J57" s="36">
        <v>314.85999999999996</v>
      </c>
      <c r="K57" s="35"/>
      <c r="L57" s="6"/>
      <c r="M57" s="41"/>
      <c r="N57" s="36"/>
    </row>
    <row r="58" spans="2:14" ht="16" customHeight="1" x14ac:dyDescent="0.2">
      <c r="B58" s="6" t="s">
        <v>22</v>
      </c>
      <c r="C58" s="6" t="str" cm="1">
        <f t="array" ref="C58">_xlfn.XLOOKUP(Table5[[#This Row],[Account]],Table25[[#All],[Account]],Table25[[#All],[Account Type2]])</f>
        <v>Brokerage</v>
      </c>
      <c r="D58" s="6" t="str" cm="1">
        <f t="array" ref="D58">_xlfn.XLOOKUP(Table5[[#This Row],[Account]],Table25[[#All],[Account]],Table25[[#All],[Owner]])</f>
        <v>Drew</v>
      </c>
      <c r="E58" s="6" t="str">
        <f>IF(Table5[[#This Row],[Date Sold]]&lt;&gt;"","Closed","Open")</f>
        <v>Open</v>
      </c>
      <c r="F58" s="40" t="s">
        <v>101</v>
      </c>
      <c r="G58" s="32" t="str" cm="1">
        <f t="array" ref="G58">_xlfn.XLOOKUP(Table5[[#This Row],[Symbol]],Table36[[#All],[Symbol]],Table36[[#All],[Security Description]])</f>
        <v>NETFLIX INC</v>
      </c>
      <c r="H58" s="38">
        <v>41807</v>
      </c>
      <c r="I58" s="6">
        <v>1</v>
      </c>
      <c r="J58" s="36">
        <v>441.98</v>
      </c>
      <c r="K58" s="35"/>
      <c r="L58" s="6"/>
      <c r="M58" s="41"/>
      <c r="N58" s="36"/>
    </row>
    <row r="59" spans="2:14" ht="16" customHeight="1" x14ac:dyDescent="0.2">
      <c r="B59" s="6" t="s">
        <v>22</v>
      </c>
      <c r="C59" s="6" t="str" cm="1">
        <f t="array" ref="C59">_xlfn.XLOOKUP(Table5[[#This Row],[Account]],Table25[[#All],[Account]],Table25[[#All],[Account Type2]])</f>
        <v>Brokerage</v>
      </c>
      <c r="D59" s="6" t="str" cm="1">
        <f t="array" ref="D59">_xlfn.XLOOKUP(Table5[[#This Row],[Account]],Table25[[#All],[Account]],Table25[[#All],[Owner]])</f>
        <v>Drew</v>
      </c>
      <c r="E59" s="6" t="str">
        <f>IF(Table5[[#This Row],[Date Sold]]&lt;&gt;"","Closed","Open")</f>
        <v>Open</v>
      </c>
      <c r="F59" s="40" t="s">
        <v>101</v>
      </c>
      <c r="G59" s="32" t="str" cm="1">
        <f t="array" ref="G59">_xlfn.XLOOKUP(Table5[[#This Row],[Symbol]],Table36[[#All],[Symbol]],Table36[[#All],[Security Description]])</f>
        <v>NETFLIX INC</v>
      </c>
      <c r="H59" s="38">
        <v>41807</v>
      </c>
      <c r="I59" s="6">
        <v>1</v>
      </c>
      <c r="J59" s="36">
        <v>441.98</v>
      </c>
      <c r="K59" s="35"/>
      <c r="L59" s="6"/>
      <c r="M59" s="41"/>
      <c r="N59" s="36"/>
    </row>
    <row r="60" spans="2:14" ht="16" customHeight="1" x14ac:dyDescent="0.2">
      <c r="B60" s="6" t="s">
        <v>22</v>
      </c>
      <c r="C60" s="6" t="str" cm="1">
        <f t="array" ref="C60">_xlfn.XLOOKUP(Table5[[#This Row],[Account]],Table25[[#All],[Account]],Table25[[#All],[Account Type2]])</f>
        <v>Brokerage</v>
      </c>
      <c r="D60" s="6" t="str" cm="1">
        <f t="array" ref="D60">_xlfn.XLOOKUP(Table5[[#This Row],[Account]],Table25[[#All],[Account]],Table25[[#All],[Owner]])</f>
        <v>Drew</v>
      </c>
      <c r="E60" s="6" t="str">
        <f>IF(Table5[[#This Row],[Date Sold]]&lt;&gt;"","Closed","Open")</f>
        <v>Open</v>
      </c>
      <c r="F60" s="40" t="s">
        <v>101</v>
      </c>
      <c r="G60" s="32" t="str" cm="1">
        <f t="array" ref="G60">_xlfn.XLOOKUP(Table5[[#This Row],[Symbol]],Table36[[#All],[Symbol]],Table36[[#All],[Security Description]])</f>
        <v>NETFLIX INC</v>
      </c>
      <c r="H60" s="38">
        <v>41807</v>
      </c>
      <c r="I60" s="6">
        <v>1</v>
      </c>
      <c r="J60" s="36">
        <v>441.98</v>
      </c>
      <c r="K60" s="35"/>
      <c r="L60" s="6"/>
      <c r="M60" s="41"/>
      <c r="N60" s="36"/>
    </row>
    <row r="61" spans="2:14" ht="16" customHeight="1" x14ac:dyDescent="0.2">
      <c r="B61" s="6" t="s">
        <v>22</v>
      </c>
      <c r="C61" s="6" t="str" cm="1">
        <f t="array" ref="C61">_xlfn.XLOOKUP(Table5[[#This Row],[Account]],Table25[[#All],[Account]],Table25[[#All],[Account Type2]])</f>
        <v>Brokerage</v>
      </c>
      <c r="D61" s="6" t="str" cm="1">
        <f t="array" ref="D61">_xlfn.XLOOKUP(Table5[[#This Row],[Account]],Table25[[#All],[Account]],Table25[[#All],[Owner]])</f>
        <v>Drew</v>
      </c>
      <c r="E61" s="6" t="str">
        <f>IF(Table5[[#This Row],[Date Sold]]&lt;&gt;"","Closed","Open")</f>
        <v>Open</v>
      </c>
      <c r="F61" s="40" t="s">
        <v>101</v>
      </c>
      <c r="G61" s="32" t="str" cm="1">
        <f t="array" ref="G61">_xlfn.XLOOKUP(Table5[[#This Row],[Symbol]],Table36[[#All],[Symbol]],Table36[[#All],[Security Description]])</f>
        <v>NETFLIX INC</v>
      </c>
      <c r="H61" s="38">
        <v>41988</v>
      </c>
      <c r="I61" s="6">
        <v>1</v>
      </c>
      <c r="J61" s="36">
        <v>335.78999999999996</v>
      </c>
      <c r="K61" s="35"/>
      <c r="L61" s="6"/>
      <c r="M61" s="41"/>
      <c r="N61" s="36"/>
    </row>
    <row r="62" spans="2:14" ht="16" customHeight="1" x14ac:dyDescent="0.2">
      <c r="B62" s="6" t="s">
        <v>22</v>
      </c>
      <c r="C62" s="6" t="str" cm="1">
        <f t="array" ref="C62">_xlfn.XLOOKUP(Table5[[#This Row],[Account]],Table25[[#All],[Account]],Table25[[#All],[Account Type2]])</f>
        <v>Brokerage</v>
      </c>
      <c r="D62" s="6" t="str" cm="1">
        <f t="array" ref="D62">_xlfn.XLOOKUP(Table5[[#This Row],[Account]],Table25[[#All],[Account]],Table25[[#All],[Owner]])</f>
        <v>Drew</v>
      </c>
      <c r="E62" s="6" t="str">
        <f>IF(Table5[[#This Row],[Date Sold]]&lt;&gt;"","Closed","Open")</f>
        <v>Open</v>
      </c>
      <c r="F62" s="40" t="s">
        <v>101</v>
      </c>
      <c r="G62" s="32" t="str" cm="1">
        <f t="array" ref="G62">_xlfn.XLOOKUP(Table5[[#This Row],[Symbol]],Table36[[#All],[Symbol]],Table36[[#All],[Security Description]])</f>
        <v>NETFLIX INC</v>
      </c>
      <c r="H62" s="38">
        <v>42944</v>
      </c>
      <c r="I62" s="6">
        <v>1</v>
      </c>
      <c r="J62" s="36">
        <v>184.55312499999999</v>
      </c>
      <c r="K62" s="35"/>
      <c r="L62" s="6"/>
      <c r="M62" s="41"/>
      <c r="N62" s="36"/>
    </row>
    <row r="63" spans="2:14" ht="16" customHeight="1" x14ac:dyDescent="0.2">
      <c r="B63" s="6" t="s">
        <v>22</v>
      </c>
      <c r="C63" s="6" t="str" cm="1">
        <f t="array" ref="C63">_xlfn.XLOOKUP(Table5[[#This Row],[Account]],Table25[[#All],[Account]],Table25[[#All],[Account Type2]])</f>
        <v>Brokerage</v>
      </c>
      <c r="D63" s="6" t="str" cm="1">
        <f t="array" ref="D63">_xlfn.XLOOKUP(Table5[[#This Row],[Account]],Table25[[#All],[Account]],Table25[[#All],[Owner]])</f>
        <v>Drew</v>
      </c>
      <c r="E63" s="6" t="str">
        <f>IF(Table5[[#This Row],[Date Sold]]&lt;&gt;"","Closed","Open")</f>
        <v>Open</v>
      </c>
      <c r="F63" s="40" t="s">
        <v>101</v>
      </c>
      <c r="G63" s="32" t="str" cm="1">
        <f t="array" ref="G63">_xlfn.XLOOKUP(Table5[[#This Row],[Symbol]],Table36[[#All],[Symbol]],Table36[[#All],[Security Description]])</f>
        <v>NETFLIX INC</v>
      </c>
      <c r="H63" s="38">
        <v>42944</v>
      </c>
      <c r="I63" s="6">
        <v>1</v>
      </c>
      <c r="J63" s="36">
        <v>184.55312499999999</v>
      </c>
      <c r="K63" s="35"/>
      <c r="L63" s="6"/>
      <c r="M63" s="41"/>
      <c r="N63" s="36"/>
    </row>
    <row r="64" spans="2:14" ht="16" customHeight="1" x14ac:dyDescent="0.2">
      <c r="B64" s="6" t="s">
        <v>22</v>
      </c>
      <c r="C64" s="6" t="str" cm="1">
        <f t="array" ref="C64">_xlfn.XLOOKUP(Table5[[#This Row],[Account]],Table25[[#All],[Account]],Table25[[#All],[Account Type2]])</f>
        <v>Brokerage</v>
      </c>
      <c r="D64" s="6" t="str" cm="1">
        <f t="array" ref="D64">_xlfn.XLOOKUP(Table5[[#This Row],[Account]],Table25[[#All],[Account]],Table25[[#All],[Owner]])</f>
        <v>Drew</v>
      </c>
      <c r="E64" s="6" t="str">
        <f>IF(Table5[[#This Row],[Date Sold]]&lt;&gt;"","Closed","Open")</f>
        <v>Open</v>
      </c>
      <c r="F64" s="40" t="s">
        <v>101</v>
      </c>
      <c r="G64" s="32" t="str" cm="1">
        <f t="array" ref="G64">_xlfn.XLOOKUP(Table5[[#This Row],[Symbol]],Table36[[#All],[Symbol]],Table36[[#All],[Security Description]])</f>
        <v>NETFLIX INC</v>
      </c>
      <c r="H64" s="39">
        <v>43837</v>
      </c>
      <c r="I64" s="6">
        <v>1</v>
      </c>
      <c r="J64" s="36">
        <v>333.13</v>
      </c>
      <c r="K64" s="35"/>
      <c r="L64" s="6"/>
      <c r="M64" s="41"/>
      <c r="N64" s="36"/>
    </row>
    <row r="65" spans="2:14" ht="16" customHeight="1" x14ac:dyDescent="0.2">
      <c r="B65" s="6" t="s">
        <v>22</v>
      </c>
      <c r="C65" s="6" t="str" cm="1">
        <f t="array" ref="C65">_xlfn.XLOOKUP(Table5[[#This Row],[Account]],Table25[[#All],[Account]],Table25[[#All],[Account Type2]])</f>
        <v>Brokerage</v>
      </c>
      <c r="D65" s="6" t="str" cm="1">
        <f t="array" ref="D65">_xlfn.XLOOKUP(Table5[[#This Row],[Account]],Table25[[#All],[Account]],Table25[[#All],[Owner]])</f>
        <v>Drew</v>
      </c>
      <c r="E65" s="6" t="str">
        <f>IF(Table5[[#This Row],[Date Sold]]&lt;&gt;"","Closed","Open")</f>
        <v>Open</v>
      </c>
      <c r="F65" s="40" t="s">
        <v>101</v>
      </c>
      <c r="G65" s="32" t="str" cm="1">
        <f t="array" ref="G65">_xlfn.XLOOKUP(Table5[[#This Row],[Symbol]],Table36[[#All],[Symbol]],Table36[[#All],[Security Description]])</f>
        <v>NETFLIX INC</v>
      </c>
      <c r="H65" s="38">
        <v>44564</v>
      </c>
      <c r="I65" s="6">
        <v>1</v>
      </c>
      <c r="J65" s="36">
        <v>605.61</v>
      </c>
      <c r="K65" s="35"/>
      <c r="L65" s="6"/>
      <c r="M65" s="41"/>
      <c r="N65" s="36"/>
    </row>
    <row r="66" spans="2:14" ht="16" customHeight="1" x14ac:dyDescent="0.2">
      <c r="B66" s="7" t="s">
        <v>28</v>
      </c>
      <c r="C66" s="6" t="str" cm="1">
        <f t="array" ref="C66">_xlfn.XLOOKUP(Table5[[#This Row],[Account]],Table25[[#All],[Account]],Table25[[#All],[Account Type2]])</f>
        <v>HSA</v>
      </c>
      <c r="D66" s="6" t="str" cm="1">
        <f t="array" ref="D66">_xlfn.XLOOKUP(Table5[[#This Row],[Account]],Table25[[#All],[Account]],Table25[[#All],[Owner]])</f>
        <v>Jackson</v>
      </c>
      <c r="E66" s="6" t="str">
        <f>IF(Table5[[#This Row],[Date Sold]]&lt;&gt;"","Closed","Open")</f>
        <v>Open</v>
      </c>
      <c r="F66" s="40" t="s">
        <v>102</v>
      </c>
      <c r="G66" s="32" t="str" cm="1">
        <f t="array" ref="G66">_xlfn.XLOOKUP(Table5[[#This Row],[Symbol]],Table36[[#All],[Symbol]],Table36[[#All],[Security Description]])</f>
        <v>NIKE INC CLASS B COMNPV</v>
      </c>
      <c r="H66" s="38">
        <v>41807</v>
      </c>
      <c r="I66" s="6">
        <v>1</v>
      </c>
      <c r="J66" s="36">
        <v>75.444999999999993</v>
      </c>
      <c r="K66" s="35"/>
      <c r="L66" s="6"/>
      <c r="M66" s="41"/>
      <c r="N66" s="36"/>
    </row>
    <row r="67" spans="2:14" ht="16" customHeight="1" x14ac:dyDescent="0.2">
      <c r="B67" s="7" t="s">
        <v>28</v>
      </c>
      <c r="C67" s="6" t="str" cm="1">
        <f t="array" ref="C67">_xlfn.XLOOKUP(Table5[[#This Row],[Account]],Table25[[#All],[Account]],Table25[[#All],[Account Type2]])</f>
        <v>HSA</v>
      </c>
      <c r="D67" s="6" t="str" cm="1">
        <f t="array" ref="D67">_xlfn.XLOOKUP(Table5[[#This Row],[Account]],Table25[[#All],[Account]],Table25[[#All],[Owner]])</f>
        <v>Jackson</v>
      </c>
      <c r="E67" s="6" t="str">
        <f>IF(Table5[[#This Row],[Date Sold]]&lt;&gt;"","Closed","Open")</f>
        <v>Open</v>
      </c>
      <c r="F67" s="40" t="s">
        <v>102</v>
      </c>
      <c r="G67" s="32" t="str" cm="1">
        <f t="array" ref="G67">_xlfn.XLOOKUP(Table5[[#This Row],[Symbol]],Table36[[#All],[Symbol]],Table36[[#All],[Security Description]])</f>
        <v>NIKE INC CLASS B COMNPV</v>
      </c>
      <c r="H67" s="38">
        <v>41857</v>
      </c>
      <c r="I67" s="6">
        <v>1</v>
      </c>
      <c r="J67" s="36">
        <v>78.747500000000002</v>
      </c>
      <c r="K67" s="35"/>
      <c r="L67" s="6"/>
      <c r="M67" s="41"/>
      <c r="N67" s="36"/>
    </row>
    <row r="68" spans="2:14" ht="16" customHeight="1" x14ac:dyDescent="0.2">
      <c r="B68" s="7" t="s">
        <v>28</v>
      </c>
      <c r="C68" s="6" t="str" cm="1">
        <f t="array" ref="C68">_xlfn.XLOOKUP(Table5[[#This Row],[Account]],Table25[[#All],[Account]],Table25[[#All],[Account Type2]])</f>
        <v>HSA</v>
      </c>
      <c r="D68" s="6" t="str" cm="1">
        <f t="array" ref="D68">_xlfn.XLOOKUP(Table5[[#This Row],[Account]],Table25[[#All],[Account]],Table25[[#All],[Owner]])</f>
        <v>Jackson</v>
      </c>
      <c r="E68" s="6" t="str">
        <f>IF(Table5[[#This Row],[Date Sold]]&lt;&gt;"","Closed","Open")</f>
        <v>Open</v>
      </c>
      <c r="F68" s="40" t="s">
        <v>102</v>
      </c>
      <c r="G68" s="32" t="str" cm="1">
        <f t="array" ref="G68">_xlfn.XLOOKUP(Table5[[#This Row],[Symbol]],Table36[[#All],[Symbol]],Table36[[#All],[Security Description]])</f>
        <v>NIKE INC CLASS B COMNPV</v>
      </c>
      <c r="H68" s="38">
        <v>42354</v>
      </c>
      <c r="I68" s="6">
        <v>1</v>
      </c>
      <c r="J68" s="36">
        <v>130.19348837209299</v>
      </c>
      <c r="K68" s="35"/>
      <c r="L68" s="6"/>
      <c r="M68" s="41"/>
      <c r="N68" s="36"/>
    </row>
    <row r="69" spans="2:14" ht="16" customHeight="1" x14ac:dyDescent="0.2">
      <c r="B69" s="7" t="s">
        <v>28</v>
      </c>
      <c r="C69" s="6" t="str" cm="1">
        <f t="array" ref="C69">_xlfn.XLOOKUP(Table5[[#This Row],[Account]],Table25[[#All],[Account]],Table25[[#All],[Account Type2]])</f>
        <v>HSA</v>
      </c>
      <c r="D69" s="6" t="str" cm="1">
        <f t="array" ref="D69">_xlfn.XLOOKUP(Table5[[#This Row],[Account]],Table25[[#All],[Account]],Table25[[#All],[Owner]])</f>
        <v>Jackson</v>
      </c>
      <c r="E69" s="6" t="str">
        <f>IF(Table5[[#This Row],[Date Sold]]&lt;&gt;"","Closed","Open")</f>
        <v>Open</v>
      </c>
      <c r="F69" s="40" t="s">
        <v>102</v>
      </c>
      <c r="G69" s="32" t="str" cm="1">
        <f t="array" ref="G69">_xlfn.XLOOKUP(Table5[[#This Row],[Symbol]],Table36[[#All],[Symbol]],Table36[[#All],[Security Description]])</f>
        <v>NIKE INC CLASS B COMNPV</v>
      </c>
      <c r="H69" s="38">
        <v>42354</v>
      </c>
      <c r="I69" s="6">
        <v>1</v>
      </c>
      <c r="J69" s="36">
        <v>130.19348837209299</v>
      </c>
      <c r="K69" s="35"/>
      <c r="L69" s="6"/>
      <c r="M69" s="41"/>
      <c r="N69" s="36"/>
    </row>
    <row r="70" spans="2:14" ht="16" customHeight="1" x14ac:dyDescent="0.2">
      <c r="B70" s="7" t="s">
        <v>28</v>
      </c>
      <c r="C70" s="6" t="str" cm="1">
        <f t="array" ref="C70">_xlfn.XLOOKUP(Table5[[#This Row],[Account]],Table25[[#All],[Account]],Table25[[#All],[Account Type2]])</f>
        <v>HSA</v>
      </c>
      <c r="D70" s="6" t="str" cm="1">
        <f t="array" ref="D70">_xlfn.XLOOKUP(Table5[[#This Row],[Account]],Table25[[#All],[Account]],Table25[[#All],[Owner]])</f>
        <v>Jackson</v>
      </c>
      <c r="E70" s="6" t="str">
        <f>IF(Table5[[#This Row],[Date Sold]]&lt;&gt;"","Closed","Open")</f>
        <v>Open</v>
      </c>
      <c r="F70" s="40" t="s">
        <v>102</v>
      </c>
      <c r="G70" s="32" t="str" cm="1">
        <f t="array" ref="G70">_xlfn.XLOOKUP(Table5[[#This Row],[Symbol]],Table36[[#All],[Symbol]],Table36[[#All],[Security Description]])</f>
        <v>NIKE INC CLASS B COMNPV</v>
      </c>
      <c r="H70" s="38">
        <v>42363</v>
      </c>
      <c r="I70" s="6">
        <v>1</v>
      </c>
      <c r="J70" s="36">
        <v>132.74258064516121</v>
      </c>
      <c r="K70" s="35"/>
      <c r="L70" s="6"/>
      <c r="M70" s="41"/>
      <c r="N70" s="36"/>
    </row>
    <row r="71" spans="2:14" ht="16" customHeight="1" x14ac:dyDescent="0.2">
      <c r="B71" s="7" t="s">
        <v>28</v>
      </c>
      <c r="C71" s="6" t="str" cm="1">
        <f t="array" ref="C71">_xlfn.XLOOKUP(Table5[[#This Row],[Account]],Table25[[#All],[Account]],Table25[[#All],[Account Type2]])</f>
        <v>HSA</v>
      </c>
      <c r="D71" s="6" t="str" cm="1">
        <f t="array" ref="D71">_xlfn.XLOOKUP(Table5[[#This Row],[Account]],Table25[[#All],[Account]],Table25[[#All],[Owner]])</f>
        <v>Jackson</v>
      </c>
      <c r="E71" s="6" t="str">
        <f>IF(Table5[[#This Row],[Date Sold]]&lt;&gt;"","Closed","Open")</f>
        <v>Open</v>
      </c>
      <c r="F71" s="40" t="s">
        <v>102</v>
      </c>
      <c r="G71" s="32" t="str" cm="1">
        <f t="array" ref="G71">_xlfn.XLOOKUP(Table5[[#This Row],[Symbol]],Table36[[#All],[Symbol]],Table36[[#All],[Security Description]])</f>
        <v>NIKE INC CLASS B COMNPV</v>
      </c>
      <c r="H71" s="38">
        <v>42363</v>
      </c>
      <c r="I71" s="6">
        <v>1</v>
      </c>
      <c r="J71" s="36">
        <v>132.74258064516121</v>
      </c>
      <c r="K71" s="35"/>
      <c r="L71" s="6"/>
      <c r="M71" s="41"/>
      <c r="N71" s="36"/>
    </row>
    <row r="72" spans="2:14" ht="16" customHeight="1" x14ac:dyDescent="0.2">
      <c r="B72" s="7" t="s">
        <v>28</v>
      </c>
      <c r="C72" s="6" t="str" cm="1">
        <f t="array" ref="C72">_xlfn.XLOOKUP(Table5[[#This Row],[Account]],Table25[[#All],[Account]],Table25[[#All],[Account Type2]])</f>
        <v>HSA</v>
      </c>
      <c r="D72" s="6" t="str" cm="1">
        <f t="array" ref="D72">_xlfn.XLOOKUP(Table5[[#This Row],[Account]],Table25[[#All],[Account]],Table25[[#All],[Owner]])</f>
        <v>Jackson</v>
      </c>
      <c r="E72" s="6" t="str">
        <f>IF(Table5[[#This Row],[Date Sold]]&lt;&gt;"","Closed","Open")</f>
        <v>Open</v>
      </c>
      <c r="F72" s="40" t="s">
        <v>102</v>
      </c>
      <c r="G72" s="32" t="str" cm="1">
        <f t="array" ref="G72">_xlfn.XLOOKUP(Table5[[#This Row],[Symbol]],Table36[[#All],[Symbol]],Table36[[#All],[Security Description]])</f>
        <v>NIKE INC CLASS B COMNPV</v>
      </c>
      <c r="H72" s="38">
        <v>42669</v>
      </c>
      <c r="I72" s="6">
        <v>1</v>
      </c>
      <c r="J72" s="36">
        <v>61.22</v>
      </c>
      <c r="K72" s="35"/>
      <c r="L72" s="6"/>
      <c r="M72" s="41"/>
      <c r="N72" s="36"/>
    </row>
    <row r="73" spans="2:14" ht="16" customHeight="1" x14ac:dyDescent="0.2">
      <c r="B73" s="5" t="s">
        <v>25</v>
      </c>
      <c r="C73" s="6" t="str" cm="1">
        <f t="array" ref="C73">_xlfn.XLOOKUP(Table5[[#This Row],[Account]],Table25[[#All],[Account]],Table25[[#All],[Account Type2]])</f>
        <v>Roth IRA</v>
      </c>
      <c r="D73" s="6" t="str" cm="1">
        <f t="array" ref="D73">_xlfn.XLOOKUP(Table5[[#This Row],[Account]],Table25[[#All],[Account]],Table25[[#All],[Owner]])</f>
        <v>Shaun</v>
      </c>
      <c r="E73" s="6" t="str">
        <f>IF(Table5[[#This Row],[Date Sold]]&lt;&gt;"","Closed","Open")</f>
        <v>Open</v>
      </c>
      <c r="F73" s="40" t="s">
        <v>103</v>
      </c>
      <c r="G73" s="32" t="str" cm="1">
        <f t="array" ref="G73">_xlfn.XLOOKUP(Table5[[#This Row],[Symbol]],Table36[[#All],[Symbol]],Table36[[#All],[Security Description]])</f>
        <v>NVIDIA CORPORATION COM</v>
      </c>
      <c r="H73" s="38">
        <v>42768</v>
      </c>
      <c r="I73" s="6">
        <v>1</v>
      </c>
      <c r="J73" s="36">
        <v>116.02</v>
      </c>
      <c r="K73" s="35"/>
      <c r="L73" s="6"/>
      <c r="M73" s="41"/>
      <c r="N73" s="36"/>
    </row>
    <row r="74" spans="2:14" ht="16" customHeight="1" x14ac:dyDescent="0.2">
      <c r="B74" s="5" t="s">
        <v>25</v>
      </c>
      <c r="C74" s="6" t="str" cm="1">
        <f t="array" ref="C74">_xlfn.XLOOKUP(Table5[[#This Row],[Account]],Table25[[#All],[Account]],Table25[[#All],[Account Type2]])</f>
        <v>Roth IRA</v>
      </c>
      <c r="D74" s="6" t="str" cm="1">
        <f t="array" ref="D74">_xlfn.XLOOKUP(Table5[[#This Row],[Account]],Table25[[#All],[Account]],Table25[[#All],[Owner]])</f>
        <v>Shaun</v>
      </c>
      <c r="E74" s="6" t="str">
        <f>IF(Table5[[#This Row],[Date Sold]]&lt;&gt;"","Closed","Open")</f>
        <v>Open</v>
      </c>
      <c r="F74" s="40" t="s">
        <v>103</v>
      </c>
      <c r="G74" s="32" t="str" cm="1">
        <f t="array" ref="G74">_xlfn.XLOOKUP(Table5[[#This Row],[Symbol]],Table36[[#All],[Symbol]],Table36[[#All],[Security Description]])</f>
        <v>NVIDIA CORPORATION COM</v>
      </c>
      <c r="H74" s="38">
        <v>42768</v>
      </c>
      <c r="I74" s="6">
        <v>1</v>
      </c>
      <c r="J74" s="36">
        <v>116.02</v>
      </c>
      <c r="K74" s="35"/>
      <c r="L74" s="6"/>
      <c r="M74" s="41"/>
      <c r="N74" s="36"/>
    </row>
    <row r="75" spans="2:14" ht="16" customHeight="1" x14ac:dyDescent="0.2">
      <c r="B75" s="5" t="s">
        <v>25</v>
      </c>
      <c r="C75" s="6" t="str" cm="1">
        <f t="array" ref="C75">_xlfn.XLOOKUP(Table5[[#This Row],[Account]],Table25[[#All],[Account]],Table25[[#All],[Account Type2]])</f>
        <v>Roth IRA</v>
      </c>
      <c r="D75" s="6" t="str" cm="1">
        <f t="array" ref="D75">_xlfn.XLOOKUP(Table5[[#This Row],[Account]],Table25[[#All],[Account]],Table25[[#All],[Owner]])</f>
        <v>Shaun</v>
      </c>
      <c r="E75" s="6" t="str">
        <f>IF(Table5[[#This Row],[Date Sold]]&lt;&gt;"","Closed","Open")</f>
        <v>Open</v>
      </c>
      <c r="F75" s="40" t="s">
        <v>103</v>
      </c>
      <c r="G75" s="32" t="str" cm="1">
        <f t="array" ref="G75">_xlfn.XLOOKUP(Table5[[#This Row],[Symbol]],Table36[[#All],[Symbol]],Table36[[#All],[Security Description]])</f>
        <v>NVIDIA CORPORATION COM</v>
      </c>
      <c r="H75" s="38">
        <v>42768</v>
      </c>
      <c r="I75" s="6">
        <v>1</v>
      </c>
      <c r="J75" s="36">
        <v>116.02</v>
      </c>
      <c r="K75" s="35"/>
      <c r="L75" s="6"/>
      <c r="M75" s="41"/>
      <c r="N75" s="36"/>
    </row>
    <row r="76" spans="2:14" ht="16" customHeight="1" x14ac:dyDescent="0.2">
      <c r="B76" s="5" t="s">
        <v>25</v>
      </c>
      <c r="C76" s="6" t="str" cm="1">
        <f t="array" ref="C76">_xlfn.XLOOKUP(Table5[[#This Row],[Account]],Table25[[#All],[Account]],Table25[[#All],[Account Type2]])</f>
        <v>Roth IRA</v>
      </c>
      <c r="D76" s="6" t="str" cm="1">
        <f t="array" ref="D76">_xlfn.XLOOKUP(Table5[[#This Row],[Account]],Table25[[#All],[Account]],Table25[[#All],[Owner]])</f>
        <v>Shaun</v>
      </c>
      <c r="E76" s="6" t="str">
        <f>IF(Table5[[#This Row],[Date Sold]]&lt;&gt;"","Closed","Open")</f>
        <v>Open</v>
      </c>
      <c r="F76" s="40" t="s">
        <v>103</v>
      </c>
      <c r="G76" s="32" t="str" cm="1">
        <f t="array" ref="G76">_xlfn.XLOOKUP(Table5[[#This Row],[Symbol]],Table36[[#All],[Symbol]],Table36[[#All],[Security Description]])</f>
        <v>NVIDIA CORPORATION COM</v>
      </c>
      <c r="H76" s="38">
        <v>42768</v>
      </c>
      <c r="I76" s="6">
        <v>1</v>
      </c>
      <c r="J76" s="36">
        <v>116.02</v>
      </c>
      <c r="K76" s="35"/>
      <c r="L76" s="6"/>
      <c r="M76" s="41"/>
      <c r="N76" s="36"/>
    </row>
    <row r="77" spans="2:14" ht="16" customHeight="1" x14ac:dyDescent="0.2">
      <c r="B77" s="5" t="s">
        <v>25</v>
      </c>
      <c r="C77" s="6" t="str" cm="1">
        <f t="array" ref="C77">_xlfn.XLOOKUP(Table5[[#This Row],[Account]],Table25[[#All],[Account]],Table25[[#All],[Account Type2]])</f>
        <v>Roth IRA</v>
      </c>
      <c r="D77" s="6" t="str" cm="1">
        <f t="array" ref="D77">_xlfn.XLOOKUP(Table5[[#This Row],[Account]],Table25[[#All],[Account]],Table25[[#All],[Owner]])</f>
        <v>Shaun</v>
      </c>
      <c r="E77" s="6" t="str">
        <f>IF(Table5[[#This Row],[Date Sold]]&lt;&gt;"","Closed","Open")</f>
        <v>Open</v>
      </c>
      <c r="F77" s="40" t="s">
        <v>103</v>
      </c>
      <c r="G77" s="32" t="str" cm="1">
        <f t="array" ref="G77">_xlfn.XLOOKUP(Table5[[#This Row],[Symbol]],Table36[[#All],[Symbol]],Table36[[#All],[Security Description]])</f>
        <v>NVIDIA CORPORATION COM</v>
      </c>
      <c r="H77" s="38">
        <v>42768</v>
      </c>
      <c r="I77" s="6">
        <v>1</v>
      </c>
      <c r="J77" s="36">
        <v>116.02</v>
      </c>
      <c r="K77" s="35"/>
      <c r="L77" s="6"/>
      <c r="M77" s="41"/>
      <c r="N77" s="36"/>
    </row>
    <row r="78" spans="2:14" ht="16" customHeight="1" x14ac:dyDescent="0.2">
      <c r="B78" s="5" t="s">
        <v>25</v>
      </c>
      <c r="C78" s="6" t="str" cm="1">
        <f t="array" ref="C78">_xlfn.XLOOKUP(Table5[[#This Row],[Account]],Table25[[#All],[Account]],Table25[[#All],[Account Type2]])</f>
        <v>Roth IRA</v>
      </c>
      <c r="D78" s="6" t="str" cm="1">
        <f t="array" ref="D78">_xlfn.XLOOKUP(Table5[[#This Row],[Account]],Table25[[#All],[Account]],Table25[[#All],[Owner]])</f>
        <v>Shaun</v>
      </c>
      <c r="E78" s="6" t="str">
        <f>IF(Table5[[#This Row],[Date Sold]]&lt;&gt;"","Closed","Open")</f>
        <v>Open</v>
      </c>
      <c r="F78" s="40" t="s">
        <v>103</v>
      </c>
      <c r="G78" s="32" t="str" cm="1">
        <f t="array" ref="G78">_xlfn.XLOOKUP(Table5[[#This Row],[Symbol]],Table36[[#All],[Symbol]],Table36[[#All],[Security Description]])</f>
        <v>NVIDIA CORPORATION COM</v>
      </c>
      <c r="H78" s="38">
        <v>42768</v>
      </c>
      <c r="I78" s="6">
        <v>1</v>
      </c>
      <c r="J78" s="36">
        <v>116.02</v>
      </c>
      <c r="K78" s="35"/>
      <c r="L78" s="6"/>
      <c r="M78" s="41"/>
      <c r="N78" s="36"/>
    </row>
    <row r="79" spans="2:14" ht="16" customHeight="1" x14ac:dyDescent="0.2">
      <c r="B79" s="5" t="s">
        <v>25</v>
      </c>
      <c r="C79" s="6" t="str" cm="1">
        <f t="array" ref="C79">_xlfn.XLOOKUP(Table5[[#This Row],[Account]],Table25[[#All],[Account]],Table25[[#All],[Account Type2]])</f>
        <v>Roth IRA</v>
      </c>
      <c r="D79" s="6" t="str" cm="1">
        <f t="array" ref="D79">_xlfn.XLOOKUP(Table5[[#This Row],[Account]],Table25[[#All],[Account]],Table25[[#All],[Owner]])</f>
        <v>Shaun</v>
      </c>
      <c r="E79" s="6" t="str">
        <f>IF(Table5[[#This Row],[Date Sold]]&lt;&gt;"","Closed","Open")</f>
        <v>Open</v>
      </c>
      <c r="F79" s="40" t="s">
        <v>103</v>
      </c>
      <c r="G79" s="32" t="str" cm="1">
        <f t="array" ref="G79">_xlfn.XLOOKUP(Table5[[#This Row],[Symbol]],Table36[[#All],[Symbol]],Table36[[#All],[Security Description]])</f>
        <v>NVIDIA CORPORATION COM</v>
      </c>
      <c r="H79" s="38">
        <v>42768</v>
      </c>
      <c r="I79" s="6">
        <v>1</v>
      </c>
      <c r="J79" s="36">
        <v>116.02</v>
      </c>
      <c r="K79" s="35"/>
      <c r="L79" s="6"/>
      <c r="M79" s="41"/>
      <c r="N79" s="36"/>
    </row>
    <row r="80" spans="2:14" ht="16" customHeight="1" x14ac:dyDescent="0.2">
      <c r="B80" s="5" t="s">
        <v>25</v>
      </c>
      <c r="C80" s="6" t="str" cm="1">
        <f t="array" ref="C80">_xlfn.XLOOKUP(Table5[[#This Row],[Account]],Table25[[#All],[Account]],Table25[[#All],[Account Type2]])</f>
        <v>Roth IRA</v>
      </c>
      <c r="D80" s="6" t="str" cm="1">
        <f t="array" ref="D80">_xlfn.XLOOKUP(Table5[[#This Row],[Account]],Table25[[#All],[Account]],Table25[[#All],[Owner]])</f>
        <v>Shaun</v>
      </c>
      <c r="E80" s="6" t="str">
        <f>IF(Table5[[#This Row],[Date Sold]]&lt;&gt;"","Closed","Open")</f>
        <v>Open</v>
      </c>
      <c r="F80" s="40" t="s">
        <v>103</v>
      </c>
      <c r="G80" s="32" t="str" cm="1">
        <f t="array" ref="G80">_xlfn.XLOOKUP(Table5[[#This Row],[Symbol]],Table36[[#All],[Symbol]],Table36[[#All],[Security Description]])</f>
        <v>NVIDIA CORPORATION COM</v>
      </c>
      <c r="H80" s="38">
        <v>42768</v>
      </c>
      <c r="I80" s="6">
        <v>1</v>
      </c>
      <c r="J80" s="36">
        <v>116.02</v>
      </c>
      <c r="K80" s="35"/>
      <c r="L80" s="6"/>
      <c r="M80" s="41"/>
      <c r="N80" s="36"/>
    </row>
    <row r="81" spans="2:14" ht="16" customHeight="1" x14ac:dyDescent="0.2">
      <c r="B81" s="5" t="s">
        <v>25</v>
      </c>
      <c r="C81" s="6" t="str" cm="1">
        <f t="array" ref="C81">_xlfn.XLOOKUP(Table5[[#This Row],[Account]],Table25[[#All],[Account]],Table25[[#All],[Account Type2]])</f>
        <v>Roth IRA</v>
      </c>
      <c r="D81" s="6" t="str" cm="1">
        <f t="array" ref="D81">_xlfn.XLOOKUP(Table5[[#This Row],[Account]],Table25[[#All],[Account]],Table25[[#All],[Owner]])</f>
        <v>Shaun</v>
      </c>
      <c r="E81" s="6" t="str">
        <f>IF(Table5[[#This Row],[Date Sold]]&lt;&gt;"","Closed","Open")</f>
        <v>Open</v>
      </c>
      <c r="F81" s="40" t="s">
        <v>103</v>
      </c>
      <c r="G81" s="32" t="str" cm="1">
        <f t="array" ref="G81">_xlfn.XLOOKUP(Table5[[#This Row],[Symbol]],Table36[[#All],[Symbol]],Table36[[#All],[Security Description]])</f>
        <v>NVIDIA CORPORATION COM</v>
      </c>
      <c r="H81" s="38">
        <v>42768</v>
      </c>
      <c r="I81" s="6">
        <v>1</v>
      </c>
      <c r="J81" s="36">
        <v>116.02</v>
      </c>
      <c r="K81" s="35"/>
      <c r="L81" s="6"/>
      <c r="M81" s="41"/>
      <c r="N81" s="36"/>
    </row>
    <row r="82" spans="2:14" ht="16" customHeight="1" x14ac:dyDescent="0.2">
      <c r="B82" s="5" t="s">
        <v>25</v>
      </c>
      <c r="C82" s="6" t="str" cm="1">
        <f t="array" ref="C82">_xlfn.XLOOKUP(Table5[[#This Row],[Account]],Table25[[#All],[Account]],Table25[[#All],[Account Type2]])</f>
        <v>Roth IRA</v>
      </c>
      <c r="D82" s="6" t="str" cm="1">
        <f t="array" ref="D82">_xlfn.XLOOKUP(Table5[[#This Row],[Account]],Table25[[#All],[Account]],Table25[[#All],[Owner]])</f>
        <v>Shaun</v>
      </c>
      <c r="E82" s="6" t="str">
        <f>IF(Table5[[#This Row],[Date Sold]]&lt;&gt;"","Closed","Open")</f>
        <v>Open</v>
      </c>
      <c r="F82" s="40" t="s">
        <v>103</v>
      </c>
      <c r="G82" s="32" t="str" cm="1">
        <f t="array" ref="G82">_xlfn.XLOOKUP(Table5[[#This Row],[Symbol]],Table36[[#All],[Symbol]],Table36[[#All],[Security Description]])</f>
        <v>NVIDIA CORPORATION COM</v>
      </c>
      <c r="H82" s="38">
        <v>43108</v>
      </c>
      <c r="I82" s="6">
        <v>1</v>
      </c>
      <c r="J82" s="36">
        <v>887.63199999999995</v>
      </c>
      <c r="K82" s="35"/>
      <c r="L82" s="6"/>
      <c r="M82" s="41"/>
      <c r="N82" s="36"/>
    </row>
    <row r="83" spans="2:14" ht="16" customHeight="1" x14ac:dyDescent="0.2">
      <c r="B83" s="5" t="s">
        <v>25</v>
      </c>
      <c r="C83" s="6" t="str" cm="1">
        <f t="array" ref="C83">_xlfn.XLOOKUP(Table5[[#This Row],[Account]],Table25[[#All],[Account]],Table25[[#All],[Account Type2]])</f>
        <v>Roth IRA</v>
      </c>
      <c r="D83" s="6" t="str" cm="1">
        <f t="array" ref="D83">_xlfn.XLOOKUP(Table5[[#This Row],[Account]],Table25[[#All],[Account]],Table25[[#All],[Owner]])</f>
        <v>Shaun</v>
      </c>
      <c r="E83" s="6" t="str">
        <f>IF(Table5[[#This Row],[Date Sold]]&lt;&gt;"","Closed","Open")</f>
        <v>Open</v>
      </c>
      <c r="F83" s="40" t="s">
        <v>103</v>
      </c>
      <c r="G83" s="32" t="str" cm="1">
        <f t="array" ref="G83">_xlfn.XLOOKUP(Table5[[#This Row],[Symbol]],Table36[[#All],[Symbol]],Table36[[#All],[Security Description]])</f>
        <v>NVIDIA CORPORATION COM</v>
      </c>
      <c r="H83" s="38">
        <v>43108</v>
      </c>
      <c r="I83" s="6">
        <v>1</v>
      </c>
      <c r="J83" s="36">
        <v>221.91</v>
      </c>
      <c r="K83" s="35"/>
      <c r="L83" s="6"/>
      <c r="M83" s="41"/>
      <c r="N83" s="36"/>
    </row>
    <row r="84" spans="2:14" ht="16" customHeight="1" x14ac:dyDescent="0.2">
      <c r="B84" s="5" t="s">
        <v>25</v>
      </c>
      <c r="C84" s="6" t="str" cm="1">
        <f t="array" ref="C84">_xlfn.XLOOKUP(Table5[[#This Row],[Account]],Table25[[#All],[Account]],Table25[[#All],[Account Type2]])</f>
        <v>Roth IRA</v>
      </c>
      <c r="D84" s="6" t="str" cm="1">
        <f t="array" ref="D84">_xlfn.XLOOKUP(Table5[[#This Row],[Account]],Table25[[#All],[Account]],Table25[[#All],[Owner]])</f>
        <v>Shaun</v>
      </c>
      <c r="E84" s="6" t="str">
        <f>IF(Table5[[#This Row],[Date Sold]]&lt;&gt;"","Closed","Open")</f>
        <v>Open</v>
      </c>
      <c r="F84" s="40" t="s">
        <v>103</v>
      </c>
      <c r="G84" s="32" t="str" cm="1">
        <f t="array" ref="G84">_xlfn.XLOOKUP(Table5[[#This Row],[Symbol]],Table36[[#All],[Symbol]],Table36[[#All],[Security Description]])</f>
        <v>NVIDIA CORPORATION COM</v>
      </c>
      <c r="H84" s="38">
        <v>43108</v>
      </c>
      <c r="I84" s="6">
        <v>1</v>
      </c>
      <c r="J84" s="36">
        <v>221.91</v>
      </c>
      <c r="K84" s="35"/>
      <c r="L84" s="6"/>
      <c r="M84" s="41"/>
      <c r="N84" s="36"/>
    </row>
    <row r="85" spans="2:14" ht="16" customHeight="1" x14ac:dyDescent="0.2">
      <c r="B85" s="5" t="s">
        <v>25</v>
      </c>
      <c r="C85" s="6" t="str" cm="1">
        <f t="array" ref="C85">_xlfn.XLOOKUP(Table5[[#This Row],[Account]],Table25[[#All],[Account]],Table25[[#All],[Account Type2]])</f>
        <v>Roth IRA</v>
      </c>
      <c r="D85" s="6" t="str" cm="1">
        <f t="array" ref="D85">_xlfn.XLOOKUP(Table5[[#This Row],[Account]],Table25[[#All],[Account]],Table25[[#All],[Owner]])</f>
        <v>Shaun</v>
      </c>
      <c r="E85" s="6" t="str">
        <f>IF(Table5[[#This Row],[Date Sold]]&lt;&gt;"","Closed","Open")</f>
        <v>Open</v>
      </c>
      <c r="F85" s="40" t="s">
        <v>103</v>
      </c>
      <c r="G85" s="32" t="str" cm="1">
        <f t="array" ref="G85">_xlfn.XLOOKUP(Table5[[#This Row],[Symbol]],Table36[[#All],[Symbol]],Table36[[#All],[Security Description]])</f>
        <v>NVIDIA CORPORATION COM</v>
      </c>
      <c r="H85" s="38">
        <v>43108</v>
      </c>
      <c r="I85" s="6">
        <v>1</v>
      </c>
      <c r="J85" s="36">
        <v>221.91</v>
      </c>
      <c r="K85" s="35"/>
      <c r="L85" s="6"/>
      <c r="M85" s="41"/>
      <c r="N85" s="36"/>
    </row>
    <row r="86" spans="2:14" ht="16" customHeight="1" x14ac:dyDescent="0.2">
      <c r="B86" s="5" t="s">
        <v>25</v>
      </c>
      <c r="C86" s="6" t="str" cm="1">
        <f t="array" ref="C86">_xlfn.XLOOKUP(Table5[[#This Row],[Account]],Table25[[#All],[Account]],Table25[[#All],[Account Type2]])</f>
        <v>Roth IRA</v>
      </c>
      <c r="D86" s="6" t="str" cm="1">
        <f t="array" ref="D86">_xlfn.XLOOKUP(Table5[[#This Row],[Account]],Table25[[#All],[Account]],Table25[[#All],[Owner]])</f>
        <v>Shaun</v>
      </c>
      <c r="E86" s="6" t="str">
        <f>IF(Table5[[#This Row],[Date Sold]]&lt;&gt;"","Closed","Open")</f>
        <v>Open</v>
      </c>
      <c r="F86" s="40" t="s">
        <v>103</v>
      </c>
      <c r="G86" s="32" t="str" cm="1">
        <f t="array" ref="G86">_xlfn.XLOOKUP(Table5[[#This Row],[Symbol]],Table36[[#All],[Symbol]],Table36[[#All],[Security Description]])</f>
        <v>NVIDIA CORPORATION COM</v>
      </c>
      <c r="H86" s="38">
        <v>43108</v>
      </c>
      <c r="I86" s="6">
        <v>1</v>
      </c>
      <c r="J86" s="36">
        <v>221.91</v>
      </c>
      <c r="K86" s="35"/>
      <c r="L86" s="6"/>
      <c r="M86" s="41"/>
      <c r="N86" s="36"/>
    </row>
    <row r="87" spans="2:14" ht="16" customHeight="1" x14ac:dyDescent="0.2">
      <c r="B87" s="5" t="s">
        <v>25</v>
      </c>
      <c r="C87" s="6" t="str" cm="1">
        <f t="array" ref="C87">_xlfn.XLOOKUP(Table5[[#This Row],[Account]],Table25[[#All],[Account]],Table25[[#All],[Account Type2]])</f>
        <v>Roth IRA</v>
      </c>
      <c r="D87" s="6" t="str" cm="1">
        <f t="array" ref="D87">_xlfn.XLOOKUP(Table5[[#This Row],[Account]],Table25[[#All],[Account]],Table25[[#All],[Owner]])</f>
        <v>Shaun</v>
      </c>
      <c r="E87" s="6" t="str">
        <f>IF(Table5[[#This Row],[Date Sold]]&lt;&gt;"","Closed","Open")</f>
        <v>Open</v>
      </c>
      <c r="F87" s="40" t="s">
        <v>103</v>
      </c>
      <c r="G87" s="32" t="str" cm="1">
        <f t="array" ref="G87">_xlfn.XLOOKUP(Table5[[#This Row],[Symbol]],Table36[[#All],[Symbol]],Table36[[#All],[Security Description]])</f>
        <v>NVIDIA CORPORATION COM</v>
      </c>
      <c r="H87" s="38">
        <v>43108</v>
      </c>
      <c r="I87" s="6">
        <v>1</v>
      </c>
      <c r="J87" s="36">
        <v>221.91</v>
      </c>
      <c r="K87" s="35"/>
      <c r="L87" s="6"/>
      <c r="M87" s="41"/>
      <c r="N87" s="36"/>
    </row>
    <row r="88" spans="2:14" ht="16" customHeight="1" x14ac:dyDescent="0.2">
      <c r="B88" s="5" t="s">
        <v>25</v>
      </c>
      <c r="C88" s="6" t="str" cm="1">
        <f t="array" ref="C88">_xlfn.XLOOKUP(Table5[[#This Row],[Account]],Table25[[#All],[Account]],Table25[[#All],[Account Type2]])</f>
        <v>Roth IRA</v>
      </c>
      <c r="D88" s="6" t="str" cm="1">
        <f t="array" ref="D88">_xlfn.XLOOKUP(Table5[[#This Row],[Account]],Table25[[#All],[Account]],Table25[[#All],[Owner]])</f>
        <v>Shaun</v>
      </c>
      <c r="E88" s="6" t="str">
        <f>IF(Table5[[#This Row],[Date Sold]]&lt;&gt;"","Closed","Open")</f>
        <v>Open</v>
      </c>
      <c r="F88" s="40" t="s">
        <v>103</v>
      </c>
      <c r="G88" s="32" t="str" cm="1">
        <f t="array" ref="G88">_xlfn.XLOOKUP(Table5[[#This Row],[Symbol]],Table36[[#All],[Symbol]],Table36[[#All],[Security Description]])</f>
        <v>NVIDIA CORPORATION COM</v>
      </c>
      <c r="H88" s="38">
        <v>43108</v>
      </c>
      <c r="I88" s="6">
        <v>1</v>
      </c>
      <c r="J88" s="36">
        <v>221.91</v>
      </c>
      <c r="K88" s="35"/>
      <c r="L88" s="6"/>
      <c r="M88" s="41"/>
      <c r="N88" s="36"/>
    </row>
    <row r="89" spans="2:14" ht="16" customHeight="1" x14ac:dyDescent="0.2">
      <c r="B89" s="5" t="s">
        <v>25</v>
      </c>
      <c r="C89" s="6" t="str" cm="1">
        <f t="array" ref="C89">_xlfn.XLOOKUP(Table5[[#This Row],[Account]],Table25[[#All],[Account]],Table25[[#All],[Account Type2]])</f>
        <v>Roth IRA</v>
      </c>
      <c r="D89" s="6" t="str" cm="1">
        <f t="array" ref="D89">_xlfn.XLOOKUP(Table5[[#This Row],[Account]],Table25[[#All],[Account]],Table25[[#All],[Owner]])</f>
        <v>Shaun</v>
      </c>
      <c r="E89" s="6" t="str">
        <f>IF(Table5[[#This Row],[Date Sold]]&lt;&gt;"","Closed","Open")</f>
        <v>Open</v>
      </c>
      <c r="F89" s="40" t="s">
        <v>103</v>
      </c>
      <c r="G89" s="32" t="str" cm="1">
        <f t="array" ref="G89">_xlfn.XLOOKUP(Table5[[#This Row],[Symbol]],Table36[[#All],[Symbol]],Table36[[#All],[Security Description]])</f>
        <v>NVIDIA CORPORATION COM</v>
      </c>
      <c r="H89" s="38">
        <v>43108</v>
      </c>
      <c r="I89" s="6">
        <v>1</v>
      </c>
      <c r="J89" s="36">
        <v>221.91</v>
      </c>
      <c r="K89" s="35"/>
      <c r="L89" s="6"/>
      <c r="M89" s="41"/>
      <c r="N89" s="36"/>
    </row>
    <row r="90" spans="2:14" ht="16" customHeight="1" x14ac:dyDescent="0.2">
      <c r="B90" s="5" t="s">
        <v>25</v>
      </c>
      <c r="C90" s="6" t="str" cm="1">
        <f t="array" ref="C90">_xlfn.XLOOKUP(Table5[[#This Row],[Account]],Table25[[#All],[Account]],Table25[[#All],[Account Type2]])</f>
        <v>Roth IRA</v>
      </c>
      <c r="D90" s="6" t="str" cm="1">
        <f t="array" ref="D90">_xlfn.XLOOKUP(Table5[[#This Row],[Account]],Table25[[#All],[Account]],Table25[[#All],[Owner]])</f>
        <v>Shaun</v>
      </c>
      <c r="E90" s="6" t="str">
        <f>IF(Table5[[#This Row],[Date Sold]]&lt;&gt;"","Closed","Open")</f>
        <v>Open</v>
      </c>
      <c r="F90" s="40" t="s">
        <v>103</v>
      </c>
      <c r="G90" s="32" t="str" cm="1">
        <f t="array" ref="G90">_xlfn.XLOOKUP(Table5[[#This Row],[Symbol]],Table36[[#All],[Symbol]],Table36[[#All],[Security Description]])</f>
        <v>NVIDIA CORPORATION COM</v>
      </c>
      <c r="H90" s="38">
        <v>43108</v>
      </c>
      <c r="I90" s="6">
        <v>1</v>
      </c>
      <c r="J90" s="36">
        <v>221.91</v>
      </c>
      <c r="K90" s="35"/>
      <c r="L90" s="6"/>
      <c r="M90" s="41"/>
      <c r="N90" s="36"/>
    </row>
    <row r="91" spans="2:14" ht="16" customHeight="1" x14ac:dyDescent="0.2">
      <c r="B91" s="5" t="s">
        <v>25</v>
      </c>
      <c r="C91" s="6" t="str" cm="1">
        <f t="array" ref="C91">_xlfn.XLOOKUP(Table5[[#This Row],[Account]],Table25[[#All],[Account]],Table25[[#All],[Account Type2]])</f>
        <v>Roth IRA</v>
      </c>
      <c r="D91" s="6" t="str" cm="1">
        <f t="array" ref="D91">_xlfn.XLOOKUP(Table5[[#This Row],[Account]],Table25[[#All],[Account]],Table25[[#All],[Owner]])</f>
        <v>Shaun</v>
      </c>
      <c r="E91" s="6" t="str">
        <f>IF(Table5[[#This Row],[Date Sold]]&lt;&gt;"","Closed","Open")</f>
        <v>Open</v>
      </c>
      <c r="F91" s="40" t="s">
        <v>103</v>
      </c>
      <c r="G91" s="32" t="str" cm="1">
        <f t="array" ref="G91">_xlfn.XLOOKUP(Table5[[#This Row],[Symbol]],Table36[[#All],[Symbol]],Table36[[#All],[Security Description]])</f>
        <v>NVIDIA CORPORATION COM</v>
      </c>
      <c r="H91" s="39">
        <v>43108</v>
      </c>
      <c r="I91" s="6">
        <v>1</v>
      </c>
      <c r="J91" s="36">
        <v>221.91</v>
      </c>
      <c r="K91" s="35"/>
      <c r="L91" s="6"/>
      <c r="M91" s="41"/>
      <c r="N91" s="36"/>
    </row>
    <row r="92" spans="2:14" ht="16" customHeight="1" x14ac:dyDescent="0.2">
      <c r="B92" s="5" t="s">
        <v>25</v>
      </c>
      <c r="C92" s="6" t="str" cm="1">
        <f t="array" ref="C92">_xlfn.XLOOKUP(Table5[[#This Row],[Account]],Table25[[#All],[Account]],Table25[[#All],[Account Type2]])</f>
        <v>Roth IRA</v>
      </c>
      <c r="D92" s="6" t="str" cm="1">
        <f t="array" ref="D92">_xlfn.XLOOKUP(Table5[[#This Row],[Account]],Table25[[#All],[Account]],Table25[[#All],[Owner]])</f>
        <v>Shaun</v>
      </c>
      <c r="E92" s="6" t="str">
        <f>IF(Table5[[#This Row],[Date Sold]]&lt;&gt;"","Closed","Open")</f>
        <v>Open</v>
      </c>
      <c r="F92" s="40" t="s">
        <v>103</v>
      </c>
      <c r="G92" s="32" t="str" cm="1">
        <f t="array" ref="G92">_xlfn.XLOOKUP(Table5[[#This Row],[Symbol]],Table36[[#All],[Symbol]],Table36[[#All],[Security Description]])</f>
        <v>NVIDIA CORPORATION COM</v>
      </c>
      <c r="H92" s="38">
        <v>44657</v>
      </c>
      <c r="I92" s="6">
        <v>1</v>
      </c>
      <c r="J92" s="36">
        <v>244.14999999999998</v>
      </c>
      <c r="K92" s="35"/>
      <c r="L92" s="6"/>
      <c r="M92" s="41"/>
      <c r="N92" s="36"/>
    </row>
    <row r="93" spans="2:14" ht="16" customHeight="1" x14ac:dyDescent="0.2">
      <c r="B93" s="5" t="s">
        <v>25</v>
      </c>
      <c r="C93" s="6" t="str" cm="1">
        <f t="array" ref="C93">_xlfn.XLOOKUP(Table5[[#This Row],[Account]],Table25[[#All],[Account]],Table25[[#All],[Account Type2]])</f>
        <v>Roth IRA</v>
      </c>
      <c r="D93" s="6" t="str" cm="1">
        <f t="array" ref="D93">_xlfn.XLOOKUP(Table5[[#This Row],[Account]],Table25[[#All],[Account]],Table25[[#All],[Owner]])</f>
        <v>Shaun</v>
      </c>
      <c r="E93" s="6" t="str">
        <f>IF(Table5[[#This Row],[Date Sold]]&lt;&gt;"","Closed","Open")</f>
        <v>Open</v>
      </c>
      <c r="F93" s="40" t="s">
        <v>103</v>
      </c>
      <c r="G93" s="32" t="str" cm="1">
        <f t="array" ref="G93">_xlfn.XLOOKUP(Table5[[#This Row],[Symbol]],Table36[[#All],[Symbol]],Table36[[#All],[Security Description]])</f>
        <v>NVIDIA CORPORATION COM</v>
      </c>
      <c r="H93" s="38">
        <v>44657</v>
      </c>
      <c r="I93" s="6">
        <v>1</v>
      </c>
      <c r="J93" s="36">
        <v>244.14999999999998</v>
      </c>
      <c r="K93" s="35"/>
      <c r="L93" s="6"/>
      <c r="M93" s="41"/>
      <c r="N93" s="36"/>
    </row>
    <row r="94" spans="2:14" ht="16" customHeight="1" x14ac:dyDescent="0.2">
      <c r="B94" s="5" t="s">
        <v>25</v>
      </c>
      <c r="C94" s="6" t="str" cm="1">
        <f t="array" ref="C94">_xlfn.XLOOKUP(Table5[[#This Row],[Account]],Table25[[#All],[Account]],Table25[[#All],[Account Type2]])</f>
        <v>Roth IRA</v>
      </c>
      <c r="D94" s="6" t="str" cm="1">
        <f t="array" ref="D94">_xlfn.XLOOKUP(Table5[[#This Row],[Account]],Table25[[#All],[Account]],Table25[[#All],[Owner]])</f>
        <v>Shaun</v>
      </c>
      <c r="E94" s="6" t="str">
        <f>IF(Table5[[#This Row],[Date Sold]]&lt;&gt;"","Closed","Open")</f>
        <v>Open</v>
      </c>
      <c r="F94" s="40" t="s">
        <v>103</v>
      </c>
      <c r="G94" s="32" t="str" cm="1">
        <f t="array" ref="G94">_xlfn.XLOOKUP(Table5[[#This Row],[Symbol]],Table36[[#All],[Symbol]],Table36[[#All],[Security Description]])</f>
        <v>NVIDIA CORPORATION COM</v>
      </c>
      <c r="H94" s="38">
        <v>45019</v>
      </c>
      <c r="I94" s="6">
        <v>1</v>
      </c>
      <c r="J94" s="36">
        <v>277.06</v>
      </c>
      <c r="K94" s="35"/>
      <c r="L94" s="6"/>
      <c r="M94" s="41"/>
      <c r="N94" s="36"/>
    </row>
    <row r="95" spans="2:14" ht="16" customHeight="1" x14ac:dyDescent="0.2">
      <c r="B95" s="5" t="s">
        <v>25</v>
      </c>
      <c r="C95" s="6" t="str" cm="1">
        <f t="array" ref="C95">_xlfn.XLOOKUP(Table5[[#This Row],[Account]],Table25[[#All],[Account]],Table25[[#All],[Account Type2]])</f>
        <v>Roth IRA</v>
      </c>
      <c r="D95" s="6" t="str" cm="1">
        <f t="array" ref="D95">_xlfn.XLOOKUP(Table5[[#This Row],[Account]],Table25[[#All],[Account]],Table25[[#All],[Owner]])</f>
        <v>Shaun</v>
      </c>
      <c r="E95" s="6" t="str">
        <f>IF(Table5[[#This Row],[Date Sold]]&lt;&gt;"","Closed","Open")</f>
        <v>Open</v>
      </c>
      <c r="F95" s="40" t="s">
        <v>103</v>
      </c>
      <c r="G95" s="32" t="str" cm="1">
        <f t="array" ref="G95">_xlfn.XLOOKUP(Table5[[#This Row],[Symbol]],Table36[[#All],[Symbol]],Table36[[#All],[Security Description]])</f>
        <v>NVIDIA CORPORATION COM</v>
      </c>
      <c r="H95" s="38">
        <v>45047</v>
      </c>
      <c r="I95" s="6">
        <v>1</v>
      </c>
      <c r="J95" s="36">
        <v>281.19499999999999</v>
      </c>
      <c r="K95" s="35"/>
      <c r="L95" s="6"/>
      <c r="M95" s="41"/>
      <c r="N95" s="36"/>
    </row>
    <row r="96" spans="2:14" ht="16" customHeight="1" x14ac:dyDescent="0.2">
      <c r="B96" s="5" t="s">
        <v>25</v>
      </c>
      <c r="C96" s="6" t="str" cm="1">
        <f t="array" ref="C96">_xlfn.XLOOKUP(Table5[[#This Row],[Account]],Table25[[#All],[Account]],Table25[[#All],[Account Type2]])</f>
        <v>Roth IRA</v>
      </c>
      <c r="D96" s="6" t="str" cm="1">
        <f t="array" ref="D96">_xlfn.XLOOKUP(Table5[[#This Row],[Account]],Table25[[#All],[Account]],Table25[[#All],[Owner]])</f>
        <v>Shaun</v>
      </c>
      <c r="E96" s="6" t="str">
        <f>IF(Table5[[#This Row],[Date Sold]]&lt;&gt;"","Closed","Open")</f>
        <v>Open</v>
      </c>
      <c r="F96" s="40" t="s">
        <v>103</v>
      </c>
      <c r="G96" s="32" t="str" cm="1">
        <f t="array" ref="G96">_xlfn.XLOOKUP(Table5[[#This Row],[Symbol]],Table36[[#All],[Symbol]],Table36[[#All],[Security Description]])</f>
        <v>NVIDIA CORPORATION COM</v>
      </c>
      <c r="H96" s="39">
        <v>45103</v>
      </c>
      <c r="I96" s="6">
        <v>1</v>
      </c>
      <c r="J96" s="36">
        <v>404.80799999999999</v>
      </c>
      <c r="K96" s="35"/>
      <c r="L96" s="6"/>
      <c r="M96" s="41"/>
      <c r="N96" s="36"/>
    </row>
    <row r="97" spans="2:14" ht="16" customHeight="1" x14ac:dyDescent="0.2">
      <c r="B97" s="5" t="s">
        <v>25</v>
      </c>
      <c r="C97" s="6" t="str" cm="1">
        <f t="array" ref="C97">_xlfn.XLOOKUP(Table5[[#This Row],[Account]],Table25[[#All],[Account]],Table25[[#All],[Account Type2]])</f>
        <v>Roth IRA</v>
      </c>
      <c r="D97" s="6" t="str" cm="1">
        <f t="array" ref="D97">_xlfn.XLOOKUP(Table5[[#This Row],[Account]],Table25[[#All],[Account]],Table25[[#All],[Owner]])</f>
        <v>Shaun</v>
      </c>
      <c r="E97" s="6" t="str">
        <f>IF(Table5[[#This Row],[Date Sold]]&lt;&gt;"","Closed","Open")</f>
        <v>Open</v>
      </c>
      <c r="F97" s="40" t="s">
        <v>103</v>
      </c>
      <c r="G97" s="32" t="str" cm="1">
        <f t="array" ref="G97">_xlfn.XLOOKUP(Table5[[#This Row],[Symbol]],Table36[[#All],[Symbol]],Table36[[#All],[Security Description]])</f>
        <v>NVIDIA CORPORATION COM</v>
      </c>
      <c r="H97" s="38">
        <v>45684</v>
      </c>
      <c r="I97" s="6">
        <v>1</v>
      </c>
      <c r="J97" s="36">
        <v>120.925</v>
      </c>
      <c r="K97" s="35"/>
      <c r="L97" s="6"/>
      <c r="M97" s="41"/>
      <c r="N97" s="36"/>
    </row>
    <row r="98" spans="2:14" ht="16" customHeight="1" x14ac:dyDescent="0.2">
      <c r="B98" s="5" t="s">
        <v>25</v>
      </c>
      <c r="C98" s="6" t="str" cm="1">
        <f t="array" ref="C98">_xlfn.XLOOKUP(Table5[[#This Row],[Account]],Table25[[#All],[Account]],Table25[[#All],[Account Type2]])</f>
        <v>Roth IRA</v>
      </c>
      <c r="D98" s="6" t="str" cm="1">
        <f t="array" ref="D98">_xlfn.XLOOKUP(Table5[[#This Row],[Account]],Table25[[#All],[Account]],Table25[[#All],[Owner]])</f>
        <v>Shaun</v>
      </c>
      <c r="E98" s="6" t="str">
        <f>IF(Table5[[#This Row],[Date Sold]]&lt;&gt;"","Closed","Open")</f>
        <v>Open</v>
      </c>
      <c r="F98" s="40" t="s">
        <v>103</v>
      </c>
      <c r="G98" s="32" t="str" cm="1">
        <f t="array" ref="G98">_xlfn.XLOOKUP(Table5[[#This Row],[Symbol]],Table36[[#All],[Symbol]],Table36[[#All],[Security Description]])</f>
        <v>NVIDIA CORPORATION COM</v>
      </c>
      <c r="H98" s="38">
        <v>45691</v>
      </c>
      <c r="I98" s="6">
        <v>1</v>
      </c>
      <c r="J98" s="36">
        <v>117.77</v>
      </c>
      <c r="K98" s="35"/>
      <c r="L98" s="6"/>
      <c r="M98" s="41"/>
      <c r="N98" s="36"/>
    </row>
    <row r="99" spans="2:14" ht="16" customHeight="1" x14ac:dyDescent="0.2">
      <c r="B99" s="5" t="s">
        <v>25</v>
      </c>
      <c r="C99" s="6" t="str" cm="1">
        <f t="array" ref="C99">_xlfn.XLOOKUP(Table5[[#This Row],[Account]],Table25[[#All],[Account]],Table25[[#All],[Account Type2]])</f>
        <v>Roth IRA</v>
      </c>
      <c r="D99" s="6" t="str" cm="1">
        <f t="array" ref="D99">_xlfn.XLOOKUP(Table5[[#This Row],[Account]],Table25[[#All],[Account]],Table25[[#All],[Owner]])</f>
        <v>Shaun</v>
      </c>
      <c r="E99" s="6" t="str">
        <f>IF(Table5[[#This Row],[Date Sold]]&lt;&gt;"","Closed","Open")</f>
        <v>Open</v>
      </c>
      <c r="F99" s="40" t="s">
        <v>103</v>
      </c>
      <c r="G99" s="32" t="str" cm="1">
        <f t="array" ref="G99">_xlfn.XLOOKUP(Table5[[#This Row],[Symbol]],Table36[[#All],[Symbol]],Table36[[#All],[Security Description]])</f>
        <v>NVIDIA CORPORATION COM</v>
      </c>
      <c r="H99" s="39">
        <v>45720</v>
      </c>
      <c r="I99" s="6">
        <v>1</v>
      </c>
      <c r="J99" s="36">
        <v>112.64</v>
      </c>
      <c r="K99" s="35"/>
      <c r="L99" s="6"/>
      <c r="M99" s="41"/>
      <c r="N99" s="36"/>
    </row>
  </sheetData>
  <pageMargins left="0.7" right="0.7" top="0.75" bottom="0.75" header="0.3" footer="0.3"/>
  <pageSetup orientation="portrait" useFirstPageNumber="1" horizontalDpi="0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033A-FB3B-3F43-823D-ACD2F1360BE6}">
  <dimension ref="B2:P128"/>
  <sheetViews>
    <sheetView workbookViewId="0">
      <selection activeCell="B4" sqref="B4"/>
    </sheetView>
  </sheetViews>
  <sheetFormatPr baseColWidth="10" defaultRowHeight="16" x14ac:dyDescent="0.2"/>
  <cols>
    <col min="1" max="3" width="10.83203125" style="63"/>
    <col min="4" max="4" width="24.5" style="63" customWidth="1"/>
    <col min="5" max="5" width="24.1640625" style="63" customWidth="1"/>
    <col min="6" max="6" width="10.83203125" style="63"/>
    <col min="7" max="7" width="13.33203125" style="63" customWidth="1"/>
    <col min="8" max="8" width="10.83203125" style="63"/>
    <col min="9" max="9" width="13.33203125" style="63" bestFit="1" customWidth="1"/>
    <col min="10" max="11" width="10.83203125" style="63"/>
    <col min="12" max="12" width="19.6640625" style="63" bestFit="1" customWidth="1"/>
    <col min="13" max="14" width="10.83203125" style="63"/>
    <col min="15" max="15" width="14.1640625" style="63" bestFit="1" customWidth="1"/>
    <col min="16" max="16384" width="10.83203125" style="63"/>
  </cols>
  <sheetData>
    <row r="2" spans="2:16" x14ac:dyDescent="0.2">
      <c r="B2" s="62" t="s">
        <v>377</v>
      </c>
      <c r="C2" s="62" t="s">
        <v>21</v>
      </c>
      <c r="D2" s="62" t="s">
        <v>85</v>
      </c>
      <c r="E2" s="62" t="s">
        <v>378</v>
      </c>
      <c r="F2" s="62" t="s">
        <v>379</v>
      </c>
      <c r="G2" s="62" t="s">
        <v>380</v>
      </c>
      <c r="H2" s="62" t="s">
        <v>381</v>
      </c>
      <c r="I2" s="62" t="s">
        <v>382</v>
      </c>
      <c r="J2" s="62" t="s">
        <v>383</v>
      </c>
      <c r="K2" s="62" t="s">
        <v>384</v>
      </c>
      <c r="L2" s="62" t="s">
        <v>385</v>
      </c>
      <c r="M2" s="62" t="s">
        <v>386</v>
      </c>
      <c r="N2" s="62" t="s">
        <v>387</v>
      </c>
      <c r="O2" s="62" t="s">
        <v>388</v>
      </c>
      <c r="P2" s="62" t="s">
        <v>389</v>
      </c>
    </row>
    <row r="3" spans="2:16" x14ac:dyDescent="0.2">
      <c r="B3" s="77" t="s">
        <v>436</v>
      </c>
      <c r="C3" s="64" t="s">
        <v>390</v>
      </c>
      <c r="D3" s="64" t="s">
        <v>391</v>
      </c>
      <c r="E3" s="64" t="s">
        <v>392</v>
      </c>
      <c r="F3" s="64">
        <v>11593.102000000001</v>
      </c>
      <c r="G3" s="65">
        <v>72.31</v>
      </c>
      <c r="H3" s="65">
        <v>0.21</v>
      </c>
      <c r="I3" s="65">
        <v>838334.3</v>
      </c>
      <c r="J3" s="65">
        <v>2461.2199999999998</v>
      </c>
      <c r="K3" s="66">
        <v>2.8999999999999998E-3</v>
      </c>
      <c r="L3" s="65">
        <v>428554.32</v>
      </c>
      <c r="M3" s="66">
        <v>1.0458000000000001</v>
      </c>
      <c r="N3" s="66">
        <v>1</v>
      </c>
      <c r="O3" s="65">
        <v>409779.98</v>
      </c>
      <c r="P3" s="65">
        <v>35.35</v>
      </c>
    </row>
    <row r="4" spans="2:16" x14ac:dyDescent="0.2">
      <c r="B4" s="67"/>
      <c r="C4" s="68"/>
      <c r="D4" s="68"/>
      <c r="E4" s="68"/>
      <c r="F4" s="68"/>
      <c r="G4" s="69"/>
      <c r="H4" s="69"/>
      <c r="I4" s="69"/>
      <c r="J4" s="69"/>
      <c r="K4" s="70"/>
      <c r="L4" s="69"/>
      <c r="M4" s="70"/>
      <c r="N4" s="70"/>
      <c r="O4" s="69"/>
      <c r="P4" s="69"/>
    </row>
    <row r="5" spans="2:16" x14ac:dyDescent="0.2">
      <c r="B5" s="63" t="s">
        <v>19</v>
      </c>
      <c r="C5" s="63" t="s">
        <v>359</v>
      </c>
      <c r="D5" s="63" t="s">
        <v>393</v>
      </c>
      <c r="E5" s="63" t="s">
        <v>394</v>
      </c>
      <c r="F5" s="63" t="s">
        <v>362</v>
      </c>
      <c r="G5" s="63" t="s">
        <v>395</v>
      </c>
    </row>
    <row r="6" spans="2:16" x14ac:dyDescent="0.2">
      <c r="B6" s="76" t="s">
        <v>436</v>
      </c>
      <c r="C6" s="71">
        <v>45672</v>
      </c>
      <c r="D6" s="63" t="s">
        <v>392</v>
      </c>
      <c r="E6" s="63" t="s">
        <v>397</v>
      </c>
      <c r="F6" s="72">
        <v>1</v>
      </c>
      <c r="G6" s="63">
        <v>24.242000000000001</v>
      </c>
    </row>
    <row r="7" spans="2:16" x14ac:dyDescent="0.2">
      <c r="B7" s="63" t="s">
        <v>436</v>
      </c>
      <c r="C7" s="71">
        <v>45688</v>
      </c>
      <c r="D7" s="63" t="s">
        <v>432</v>
      </c>
      <c r="E7" s="63" t="s">
        <v>397</v>
      </c>
      <c r="F7" s="72">
        <v>1</v>
      </c>
      <c r="G7" s="63">
        <v>36.472999999999999</v>
      </c>
    </row>
    <row r="8" spans="2:16" x14ac:dyDescent="0.2">
      <c r="B8" s="63" t="s">
        <v>436</v>
      </c>
      <c r="C8" s="71">
        <v>45688</v>
      </c>
      <c r="D8" s="63" t="s">
        <v>392</v>
      </c>
      <c r="E8" s="63" t="s">
        <v>397</v>
      </c>
      <c r="F8" s="72">
        <v>1</v>
      </c>
      <c r="G8" s="63">
        <v>5.968</v>
      </c>
    </row>
    <row r="9" spans="2:16" x14ac:dyDescent="0.2">
      <c r="B9" s="63" t="s">
        <v>436</v>
      </c>
      <c r="C9" s="71">
        <v>45688</v>
      </c>
      <c r="D9" s="63" t="s">
        <v>431</v>
      </c>
      <c r="E9" s="63" t="s">
        <v>397</v>
      </c>
      <c r="F9" s="72">
        <v>1</v>
      </c>
      <c r="G9" s="63">
        <v>19.164999999999999</v>
      </c>
    </row>
    <row r="10" spans="2:16" x14ac:dyDescent="0.2">
      <c r="B10" s="63" t="s">
        <v>436</v>
      </c>
      <c r="C10" s="71">
        <v>45688</v>
      </c>
      <c r="D10" s="63" t="s">
        <v>433</v>
      </c>
      <c r="E10" s="63" t="s">
        <v>397</v>
      </c>
      <c r="F10" s="72">
        <v>1</v>
      </c>
      <c r="G10" s="63">
        <v>34.124000000000002</v>
      </c>
    </row>
    <row r="11" spans="2:16" x14ac:dyDescent="0.2">
      <c r="B11" s="63" t="s">
        <v>436</v>
      </c>
      <c r="C11" s="71">
        <v>45691</v>
      </c>
      <c r="D11" s="63" t="s">
        <v>392</v>
      </c>
      <c r="E11" s="63" t="s">
        <v>420</v>
      </c>
      <c r="F11" s="72">
        <v>1</v>
      </c>
      <c r="G11" s="63">
        <v>-3.3000000000000002E-2</v>
      </c>
    </row>
    <row r="12" spans="2:16" x14ac:dyDescent="0.2">
      <c r="B12" s="63" t="s">
        <v>436</v>
      </c>
      <c r="C12" s="71">
        <v>45691</v>
      </c>
      <c r="D12" s="63" t="s">
        <v>392</v>
      </c>
      <c r="E12" s="63" t="s">
        <v>412</v>
      </c>
      <c r="F12" s="72">
        <v>1</v>
      </c>
      <c r="G12" s="63">
        <v>0</v>
      </c>
    </row>
    <row r="13" spans="2:16" x14ac:dyDescent="0.2">
      <c r="B13" s="63" t="s">
        <v>436</v>
      </c>
      <c r="C13" s="71">
        <v>45702</v>
      </c>
      <c r="D13" s="63" t="s">
        <v>432</v>
      </c>
      <c r="E13" s="63" t="s">
        <v>397</v>
      </c>
      <c r="F13" s="72">
        <v>1</v>
      </c>
      <c r="G13" s="63">
        <v>35.930999999999997</v>
      </c>
    </row>
    <row r="14" spans="2:16" x14ac:dyDescent="0.2">
      <c r="B14" s="63" t="s">
        <v>436</v>
      </c>
      <c r="C14" s="71">
        <v>45702</v>
      </c>
      <c r="D14" s="63" t="s">
        <v>392</v>
      </c>
      <c r="E14" s="63" t="s">
        <v>397</v>
      </c>
      <c r="F14" s="72">
        <v>1</v>
      </c>
      <c r="G14" s="63">
        <v>5.8929999999999998</v>
      </c>
    </row>
    <row r="15" spans="2:16" x14ac:dyDescent="0.2">
      <c r="B15" s="63" t="s">
        <v>436</v>
      </c>
      <c r="C15" s="71">
        <v>45702</v>
      </c>
      <c r="D15" s="63" t="s">
        <v>431</v>
      </c>
      <c r="E15" s="63" t="s">
        <v>397</v>
      </c>
      <c r="F15" s="72">
        <v>1</v>
      </c>
      <c r="G15" s="63">
        <v>18.605</v>
      </c>
    </row>
    <row r="16" spans="2:16" x14ac:dyDescent="0.2">
      <c r="B16" s="63" t="s">
        <v>436</v>
      </c>
      <c r="C16" s="71">
        <v>45702</v>
      </c>
      <c r="D16" s="63" t="s">
        <v>433</v>
      </c>
      <c r="E16" s="63" t="s">
        <v>397</v>
      </c>
      <c r="F16" s="72">
        <v>1</v>
      </c>
      <c r="G16" s="63">
        <v>33.661999999999999</v>
      </c>
    </row>
    <row r="17" spans="2:7" x14ac:dyDescent="0.2">
      <c r="B17" s="63" t="s">
        <v>436</v>
      </c>
      <c r="C17" s="71">
        <v>45716</v>
      </c>
      <c r="D17" s="63" t="s">
        <v>432</v>
      </c>
      <c r="E17" s="63" t="s">
        <v>397</v>
      </c>
      <c r="F17" s="72">
        <v>1</v>
      </c>
      <c r="G17" s="63">
        <v>37.527999999999999</v>
      </c>
    </row>
    <row r="18" spans="2:7" x14ac:dyDescent="0.2">
      <c r="B18" s="63" t="s">
        <v>436</v>
      </c>
      <c r="C18" s="71">
        <v>45716</v>
      </c>
      <c r="D18" s="63" t="s">
        <v>392</v>
      </c>
      <c r="E18" s="63" t="s">
        <v>397</v>
      </c>
      <c r="F18" s="72">
        <v>1</v>
      </c>
      <c r="G18" s="63">
        <v>6.048</v>
      </c>
    </row>
    <row r="19" spans="2:7" x14ac:dyDescent="0.2">
      <c r="B19" s="63" t="s">
        <v>436</v>
      </c>
      <c r="C19" s="71">
        <v>45716</v>
      </c>
      <c r="D19" s="63" t="s">
        <v>431</v>
      </c>
      <c r="E19" s="63" t="s">
        <v>397</v>
      </c>
      <c r="F19" s="72">
        <v>1</v>
      </c>
      <c r="G19" s="63">
        <v>18.829999999999998</v>
      </c>
    </row>
    <row r="20" spans="2:7" x14ac:dyDescent="0.2">
      <c r="B20" s="63" t="s">
        <v>436</v>
      </c>
      <c r="C20" s="71">
        <v>45716</v>
      </c>
      <c r="D20" s="63" t="s">
        <v>433</v>
      </c>
      <c r="E20" s="63" t="s">
        <v>397</v>
      </c>
      <c r="F20" s="72">
        <v>1</v>
      </c>
      <c r="G20" s="63">
        <v>33.911999999999999</v>
      </c>
    </row>
    <row r="21" spans="2:7" x14ac:dyDescent="0.2">
      <c r="B21" s="63" t="s">
        <v>436</v>
      </c>
      <c r="C21" s="71">
        <v>45730</v>
      </c>
      <c r="D21" s="63" t="s">
        <v>432</v>
      </c>
      <c r="E21" s="63" t="s">
        <v>397</v>
      </c>
      <c r="F21" s="72">
        <v>1</v>
      </c>
      <c r="G21" s="63">
        <v>41.048000000000002</v>
      </c>
    </row>
    <row r="22" spans="2:7" x14ac:dyDescent="0.2">
      <c r="B22" s="63" t="s">
        <v>436</v>
      </c>
      <c r="C22" s="71">
        <v>45730</v>
      </c>
      <c r="D22" s="63" t="s">
        <v>392</v>
      </c>
      <c r="E22" s="63" t="s">
        <v>397</v>
      </c>
      <c r="F22" s="72">
        <v>1</v>
      </c>
      <c r="G22" s="63">
        <v>6.5410000000000004</v>
      </c>
    </row>
    <row r="23" spans="2:7" x14ac:dyDescent="0.2">
      <c r="B23" s="63" t="s">
        <v>436</v>
      </c>
      <c r="C23" s="71">
        <v>45730</v>
      </c>
      <c r="D23" s="63" t="s">
        <v>431</v>
      </c>
      <c r="E23" s="63" t="s">
        <v>397</v>
      </c>
      <c r="F23" s="72">
        <v>1</v>
      </c>
      <c r="G23" s="63">
        <v>18.928999999999998</v>
      </c>
    </row>
    <row r="24" spans="2:7" x14ac:dyDescent="0.2">
      <c r="B24" s="63" t="s">
        <v>436</v>
      </c>
      <c r="C24" s="71">
        <v>45730</v>
      </c>
      <c r="D24" s="63" t="s">
        <v>433</v>
      </c>
      <c r="E24" s="63" t="s">
        <v>397</v>
      </c>
      <c r="F24" s="72">
        <v>1</v>
      </c>
      <c r="G24" s="63">
        <v>35.514000000000003</v>
      </c>
    </row>
    <row r="25" spans="2:7" x14ac:dyDescent="0.2">
      <c r="B25" s="63" t="s">
        <v>436</v>
      </c>
      <c r="C25" s="71">
        <v>45747</v>
      </c>
      <c r="D25" s="63" t="s">
        <v>432</v>
      </c>
      <c r="E25" s="63" t="s">
        <v>397</v>
      </c>
      <c r="F25" s="72">
        <v>1</v>
      </c>
      <c r="G25" s="63">
        <v>41.359000000000002</v>
      </c>
    </row>
    <row r="26" spans="2:7" x14ac:dyDescent="0.2">
      <c r="B26" s="63" t="s">
        <v>436</v>
      </c>
      <c r="C26" s="71">
        <v>45747</v>
      </c>
      <c r="D26" s="63" t="s">
        <v>392</v>
      </c>
      <c r="E26" s="63" t="s">
        <v>397</v>
      </c>
      <c r="F26" s="72">
        <v>1</v>
      </c>
      <c r="G26" s="63">
        <v>6.57</v>
      </c>
    </row>
    <row r="27" spans="2:7" x14ac:dyDescent="0.2">
      <c r="B27" s="63" t="s">
        <v>436</v>
      </c>
      <c r="C27" s="71">
        <v>45747</v>
      </c>
      <c r="D27" s="63" t="s">
        <v>431</v>
      </c>
      <c r="E27" s="63" t="s">
        <v>397</v>
      </c>
      <c r="F27" s="72">
        <v>1</v>
      </c>
      <c r="G27" s="63">
        <v>19.286000000000001</v>
      </c>
    </row>
    <row r="28" spans="2:7" x14ac:dyDescent="0.2">
      <c r="B28" s="63" t="s">
        <v>436</v>
      </c>
      <c r="C28" s="71">
        <v>45747</v>
      </c>
      <c r="D28" s="63" t="s">
        <v>433</v>
      </c>
      <c r="E28" s="63" t="s">
        <v>397</v>
      </c>
      <c r="F28" s="72">
        <v>1</v>
      </c>
      <c r="G28" s="63">
        <v>35.61</v>
      </c>
    </row>
    <row r="29" spans="2:7" x14ac:dyDescent="0.2">
      <c r="B29" s="63" t="s">
        <v>436</v>
      </c>
      <c r="C29" s="71">
        <v>45762</v>
      </c>
      <c r="D29" s="63" t="s">
        <v>432</v>
      </c>
      <c r="E29" s="63" t="s">
        <v>397</v>
      </c>
      <c r="F29" s="72">
        <v>1</v>
      </c>
      <c r="G29" s="63">
        <v>43.295000000000002</v>
      </c>
    </row>
    <row r="30" spans="2:7" x14ac:dyDescent="0.2">
      <c r="B30" s="63" t="s">
        <v>436</v>
      </c>
      <c r="C30" s="71">
        <v>45762</v>
      </c>
      <c r="D30" s="63" t="s">
        <v>392</v>
      </c>
      <c r="E30" s="63" t="s">
        <v>397</v>
      </c>
      <c r="F30" s="72">
        <v>1</v>
      </c>
      <c r="G30" s="63">
        <v>6.827</v>
      </c>
    </row>
    <row r="31" spans="2:7" x14ac:dyDescent="0.2">
      <c r="B31" s="63" t="s">
        <v>436</v>
      </c>
      <c r="C31" s="71">
        <v>45762</v>
      </c>
      <c r="D31" s="63" t="s">
        <v>431</v>
      </c>
      <c r="E31" s="63" t="s">
        <v>397</v>
      </c>
      <c r="F31" s="72">
        <v>1</v>
      </c>
      <c r="G31" s="63">
        <v>19.594999999999999</v>
      </c>
    </row>
    <row r="32" spans="2:7" x14ac:dyDescent="0.2">
      <c r="B32" s="63" t="s">
        <v>436</v>
      </c>
      <c r="C32" s="71">
        <v>45762</v>
      </c>
      <c r="D32" s="63" t="s">
        <v>433</v>
      </c>
      <c r="E32" s="63" t="s">
        <v>397</v>
      </c>
      <c r="F32" s="72">
        <v>1</v>
      </c>
      <c r="G32" s="63">
        <v>36.514000000000003</v>
      </c>
    </row>
    <row r="33" spans="2:7" x14ac:dyDescent="0.2">
      <c r="B33" s="63" t="s">
        <v>436</v>
      </c>
      <c r="C33" s="71">
        <v>45777</v>
      </c>
      <c r="D33" s="63" t="s">
        <v>432</v>
      </c>
      <c r="E33" s="63" t="s">
        <v>397</v>
      </c>
      <c r="F33" s="72">
        <v>1</v>
      </c>
      <c r="G33" s="63">
        <v>41.77</v>
      </c>
    </row>
    <row r="34" spans="2:7" x14ac:dyDescent="0.2">
      <c r="B34" s="63" t="s">
        <v>436</v>
      </c>
      <c r="C34" s="71">
        <v>45777</v>
      </c>
      <c r="D34" s="63" t="s">
        <v>392</v>
      </c>
      <c r="E34" s="63" t="s">
        <v>397</v>
      </c>
      <c r="F34" s="72">
        <v>1</v>
      </c>
      <c r="G34" s="63">
        <v>6.6139999999999999</v>
      </c>
    </row>
    <row r="35" spans="2:7" x14ac:dyDescent="0.2">
      <c r="B35" s="63" t="s">
        <v>436</v>
      </c>
      <c r="C35" s="71">
        <v>45777</v>
      </c>
      <c r="D35" s="63" t="s">
        <v>431</v>
      </c>
      <c r="E35" s="63" t="s">
        <v>397</v>
      </c>
      <c r="F35" s="72">
        <v>1</v>
      </c>
      <c r="G35" s="63">
        <v>18.661999999999999</v>
      </c>
    </row>
    <row r="36" spans="2:7" x14ac:dyDescent="0.2">
      <c r="B36" s="63" t="s">
        <v>436</v>
      </c>
      <c r="C36" s="71">
        <v>45777</v>
      </c>
      <c r="D36" s="63" t="s">
        <v>433</v>
      </c>
      <c r="E36" s="63" t="s">
        <v>397</v>
      </c>
      <c r="F36" s="72">
        <v>1</v>
      </c>
      <c r="G36" s="63">
        <v>35.450000000000003</v>
      </c>
    </row>
    <row r="37" spans="2:7" x14ac:dyDescent="0.2">
      <c r="B37" s="63" t="s">
        <v>436</v>
      </c>
      <c r="C37" s="71">
        <v>45778</v>
      </c>
      <c r="D37" s="63" t="s">
        <v>432</v>
      </c>
      <c r="E37" s="63" t="s">
        <v>420</v>
      </c>
      <c r="F37" s="72">
        <v>1</v>
      </c>
      <c r="G37" s="63">
        <v>-1E-3</v>
      </c>
    </row>
    <row r="38" spans="2:7" x14ac:dyDescent="0.2">
      <c r="B38" s="63" t="s">
        <v>436</v>
      </c>
      <c r="C38" s="71">
        <v>45778</v>
      </c>
      <c r="D38" s="63" t="s">
        <v>392</v>
      </c>
      <c r="E38" s="63" t="s">
        <v>420</v>
      </c>
      <c r="F38" s="72">
        <v>1</v>
      </c>
      <c r="G38" s="63">
        <v>-3.5000000000000003E-2</v>
      </c>
    </row>
    <row r="39" spans="2:7" x14ac:dyDescent="0.2">
      <c r="B39" s="63" t="s">
        <v>436</v>
      </c>
      <c r="C39" s="71">
        <v>45778</v>
      </c>
      <c r="D39" s="63" t="s">
        <v>392</v>
      </c>
      <c r="E39" s="63" t="s">
        <v>412</v>
      </c>
      <c r="F39" s="72">
        <v>1</v>
      </c>
      <c r="G39" s="63">
        <v>0</v>
      </c>
    </row>
    <row r="40" spans="2:7" x14ac:dyDescent="0.2">
      <c r="B40" s="63" t="s">
        <v>436</v>
      </c>
      <c r="C40" s="71">
        <v>45778</v>
      </c>
      <c r="D40" s="63" t="s">
        <v>431</v>
      </c>
      <c r="E40" s="63" t="s">
        <v>420</v>
      </c>
      <c r="F40" s="72">
        <v>1</v>
      </c>
      <c r="G40" s="63">
        <v>-1E-3</v>
      </c>
    </row>
    <row r="41" spans="2:7" x14ac:dyDescent="0.2">
      <c r="B41" s="63" t="s">
        <v>436</v>
      </c>
      <c r="C41" s="71">
        <v>45778</v>
      </c>
      <c r="D41" s="63" t="s">
        <v>433</v>
      </c>
      <c r="E41" s="63" t="s">
        <v>420</v>
      </c>
      <c r="F41" s="72">
        <v>1</v>
      </c>
      <c r="G41" s="63">
        <v>-1E-3</v>
      </c>
    </row>
    <row r="42" spans="2:7" x14ac:dyDescent="0.2">
      <c r="B42" s="63" t="s">
        <v>436</v>
      </c>
      <c r="C42" s="71">
        <v>45792</v>
      </c>
      <c r="D42" s="63" t="s">
        <v>432</v>
      </c>
      <c r="E42" s="63" t="s">
        <v>397</v>
      </c>
      <c r="F42" s="72">
        <v>1</v>
      </c>
      <c r="G42" s="63">
        <v>38.996000000000002</v>
      </c>
    </row>
    <row r="43" spans="2:7" x14ac:dyDescent="0.2">
      <c r="B43" s="63" t="s">
        <v>436</v>
      </c>
      <c r="C43" s="71">
        <v>45792</v>
      </c>
      <c r="D43" s="63" t="s">
        <v>392</v>
      </c>
      <c r="E43" s="63" t="s">
        <v>397</v>
      </c>
      <c r="F43" s="72">
        <v>1</v>
      </c>
      <c r="G43" s="63">
        <v>6.2210000000000001</v>
      </c>
    </row>
    <row r="44" spans="2:7" x14ac:dyDescent="0.2">
      <c r="B44" s="63" t="s">
        <v>436</v>
      </c>
      <c r="C44" s="71">
        <v>45792</v>
      </c>
      <c r="D44" s="63" t="s">
        <v>431</v>
      </c>
      <c r="E44" s="63" t="s">
        <v>397</v>
      </c>
      <c r="F44" s="72">
        <v>1</v>
      </c>
      <c r="G44" s="63">
        <v>18.032</v>
      </c>
    </row>
    <row r="45" spans="2:7" x14ac:dyDescent="0.2">
      <c r="B45" s="63" t="s">
        <v>436</v>
      </c>
      <c r="C45" s="71">
        <v>45792</v>
      </c>
      <c r="D45" s="63" t="s">
        <v>433</v>
      </c>
      <c r="E45" s="63" t="s">
        <v>397</v>
      </c>
      <c r="F45" s="72">
        <v>1</v>
      </c>
      <c r="G45" s="63">
        <v>34.479999999999997</v>
      </c>
    </row>
    <row r="46" spans="2:7" x14ac:dyDescent="0.2">
      <c r="B46" s="63" t="s">
        <v>436</v>
      </c>
      <c r="C46" s="71">
        <v>45807</v>
      </c>
      <c r="D46" s="63" t="s">
        <v>432</v>
      </c>
      <c r="E46" s="63" t="s">
        <v>397</v>
      </c>
      <c r="F46" s="72">
        <v>1</v>
      </c>
      <c r="G46" s="63">
        <v>39.164000000000001</v>
      </c>
    </row>
    <row r="47" spans="2:7" x14ac:dyDescent="0.2">
      <c r="B47" s="63" t="s">
        <v>436</v>
      </c>
      <c r="C47" s="71">
        <v>45807</v>
      </c>
      <c r="D47" s="63" t="s">
        <v>392</v>
      </c>
      <c r="E47" s="63" t="s">
        <v>397</v>
      </c>
      <c r="F47" s="72">
        <v>1</v>
      </c>
      <c r="G47" s="63">
        <v>6.2229999999999999</v>
      </c>
    </row>
    <row r="48" spans="2:7" x14ac:dyDescent="0.2">
      <c r="B48" s="63" t="s">
        <v>436</v>
      </c>
      <c r="C48" s="71">
        <v>45807</v>
      </c>
      <c r="D48" s="63" t="s">
        <v>431</v>
      </c>
      <c r="E48" s="63" t="s">
        <v>397</v>
      </c>
      <c r="F48" s="72">
        <v>1</v>
      </c>
      <c r="G48" s="63">
        <v>17.814</v>
      </c>
    </row>
    <row r="49" spans="2:7" x14ac:dyDescent="0.2">
      <c r="B49" s="63" t="s">
        <v>436</v>
      </c>
      <c r="C49" s="71">
        <v>45807</v>
      </c>
      <c r="D49" s="63" t="s">
        <v>433</v>
      </c>
      <c r="E49" s="63" t="s">
        <v>397</v>
      </c>
      <c r="F49" s="72">
        <v>1</v>
      </c>
      <c r="G49" s="63">
        <v>34.334000000000003</v>
      </c>
    </row>
    <row r="50" spans="2:7" x14ac:dyDescent="0.2">
      <c r="B50" s="63" t="s">
        <v>436</v>
      </c>
      <c r="C50" s="71">
        <v>45821</v>
      </c>
      <c r="D50" s="63" t="s">
        <v>432</v>
      </c>
      <c r="E50" s="63" t="s">
        <v>397</v>
      </c>
      <c r="F50" s="72">
        <v>1</v>
      </c>
      <c r="G50" s="63">
        <v>38.664000000000001</v>
      </c>
    </row>
    <row r="51" spans="2:7" x14ac:dyDescent="0.2">
      <c r="B51" s="63" t="s">
        <v>436</v>
      </c>
      <c r="C51" s="71">
        <v>45821</v>
      </c>
      <c r="D51" s="63" t="s">
        <v>392</v>
      </c>
      <c r="E51" s="63" t="s">
        <v>397</v>
      </c>
      <c r="F51" s="72">
        <v>1</v>
      </c>
      <c r="G51" s="63">
        <v>6.1509999999999998</v>
      </c>
    </row>
    <row r="52" spans="2:7" x14ac:dyDescent="0.2">
      <c r="B52" s="63" t="s">
        <v>436</v>
      </c>
      <c r="C52" s="71">
        <v>45821</v>
      </c>
      <c r="D52" s="63" t="s">
        <v>431</v>
      </c>
      <c r="E52" s="63" t="s">
        <v>397</v>
      </c>
      <c r="F52" s="72">
        <v>1</v>
      </c>
      <c r="G52" s="63">
        <v>17.547000000000001</v>
      </c>
    </row>
    <row r="53" spans="2:7" x14ac:dyDescent="0.2">
      <c r="B53" s="63" t="s">
        <v>436</v>
      </c>
      <c r="C53" s="71">
        <v>45821</v>
      </c>
      <c r="D53" s="63" t="s">
        <v>433</v>
      </c>
      <c r="E53" s="63" t="s">
        <v>397</v>
      </c>
      <c r="F53" s="72">
        <v>1</v>
      </c>
      <c r="G53" s="63">
        <v>34.04</v>
      </c>
    </row>
    <row r="54" spans="2:7" x14ac:dyDescent="0.2">
      <c r="B54" s="63" t="s">
        <v>436</v>
      </c>
      <c r="C54" s="71">
        <v>45838</v>
      </c>
      <c r="D54" s="63" t="s">
        <v>432</v>
      </c>
      <c r="E54" s="63" t="s">
        <v>397</v>
      </c>
      <c r="F54" s="72">
        <v>1</v>
      </c>
      <c r="G54" s="63">
        <v>37.113999999999997</v>
      </c>
    </row>
    <row r="55" spans="2:7" x14ac:dyDescent="0.2">
      <c r="B55" s="63" t="s">
        <v>436</v>
      </c>
      <c r="C55" s="71">
        <v>45838</v>
      </c>
      <c r="D55" s="63" t="s">
        <v>392</v>
      </c>
      <c r="E55" s="63" t="s">
        <v>397</v>
      </c>
      <c r="F55" s="72">
        <v>1</v>
      </c>
      <c r="G55" s="63">
        <v>5.9219999999999997</v>
      </c>
    </row>
    <row r="56" spans="2:7" x14ac:dyDescent="0.2">
      <c r="B56" s="63" t="s">
        <v>436</v>
      </c>
      <c r="C56" s="71">
        <v>45838</v>
      </c>
      <c r="D56" s="63" t="s">
        <v>431</v>
      </c>
      <c r="E56" s="63" t="s">
        <v>397</v>
      </c>
      <c r="F56" s="72">
        <v>1</v>
      </c>
      <c r="G56" s="63">
        <v>17.143999999999998</v>
      </c>
    </row>
    <row r="57" spans="2:7" x14ac:dyDescent="0.2">
      <c r="B57" s="63" t="s">
        <v>436</v>
      </c>
      <c r="C57" s="71">
        <v>45838</v>
      </c>
      <c r="D57" s="63" t="s">
        <v>433</v>
      </c>
      <c r="E57" s="63" t="s">
        <v>397</v>
      </c>
      <c r="F57" s="72">
        <v>1</v>
      </c>
      <c r="G57" s="63">
        <v>33.216000000000001</v>
      </c>
    </row>
    <row r="58" spans="2:7" x14ac:dyDescent="0.2">
      <c r="B58" s="63" t="s">
        <v>436</v>
      </c>
      <c r="C58" s="71">
        <v>45853</v>
      </c>
      <c r="D58" s="63" t="s">
        <v>432</v>
      </c>
      <c r="E58" s="63" t="s">
        <v>397</v>
      </c>
      <c r="F58" s="72">
        <v>1</v>
      </c>
      <c r="G58" s="63">
        <v>36.713999999999999</v>
      </c>
    </row>
    <row r="59" spans="2:7" x14ac:dyDescent="0.2">
      <c r="B59" s="63" t="s">
        <v>436</v>
      </c>
      <c r="C59" s="71">
        <v>45853</v>
      </c>
      <c r="D59" s="63" t="s">
        <v>392</v>
      </c>
      <c r="E59" s="63" t="s">
        <v>397</v>
      </c>
      <c r="F59" s="72">
        <v>1</v>
      </c>
      <c r="G59" s="63">
        <v>5.8819999999999997</v>
      </c>
    </row>
    <row r="60" spans="2:7" x14ac:dyDescent="0.2">
      <c r="B60" s="63" t="s">
        <v>436</v>
      </c>
      <c r="C60" s="71">
        <v>45853</v>
      </c>
      <c r="D60" s="63" t="s">
        <v>431</v>
      </c>
      <c r="E60" s="63" t="s">
        <v>397</v>
      </c>
      <c r="F60" s="72">
        <v>1</v>
      </c>
      <c r="G60" s="63">
        <v>17.241</v>
      </c>
    </row>
    <row r="61" spans="2:7" x14ac:dyDescent="0.2">
      <c r="B61" s="63" t="s">
        <v>436</v>
      </c>
      <c r="C61" s="71">
        <v>45853</v>
      </c>
      <c r="D61" s="63" t="s">
        <v>433</v>
      </c>
      <c r="E61" s="63" t="s">
        <v>397</v>
      </c>
      <c r="F61" s="72">
        <v>1</v>
      </c>
      <c r="G61" s="63">
        <v>33.32</v>
      </c>
    </row>
    <row r="62" spans="2:7" x14ac:dyDescent="0.2">
      <c r="B62" s="63" t="s">
        <v>436</v>
      </c>
      <c r="C62" s="71">
        <v>45869</v>
      </c>
      <c r="D62" s="63" t="s">
        <v>432</v>
      </c>
      <c r="E62" s="63" t="s">
        <v>397</v>
      </c>
      <c r="F62" s="72">
        <v>1</v>
      </c>
      <c r="G62" s="63">
        <v>35.965000000000003</v>
      </c>
    </row>
    <row r="63" spans="2:7" x14ac:dyDescent="0.2">
      <c r="B63" s="63" t="s">
        <v>436</v>
      </c>
      <c r="C63" s="71">
        <v>45869</v>
      </c>
      <c r="D63" s="63" t="s">
        <v>392</v>
      </c>
      <c r="E63" s="63" t="s">
        <v>397</v>
      </c>
      <c r="F63" s="72">
        <v>1</v>
      </c>
      <c r="G63" s="63">
        <v>5.7919999999999998</v>
      </c>
    </row>
    <row r="64" spans="2:7" x14ac:dyDescent="0.2">
      <c r="B64" s="63" t="s">
        <v>436</v>
      </c>
      <c r="C64" s="71">
        <v>45869</v>
      </c>
      <c r="D64" s="63" t="s">
        <v>431</v>
      </c>
      <c r="E64" s="63" t="s">
        <v>397</v>
      </c>
      <c r="F64" s="72">
        <v>1</v>
      </c>
      <c r="G64" s="63">
        <v>17.306999999999999</v>
      </c>
    </row>
    <row r="65" spans="2:7" x14ac:dyDescent="0.2">
      <c r="B65" s="63" t="s">
        <v>436</v>
      </c>
      <c r="C65" s="71">
        <v>45869</v>
      </c>
      <c r="D65" s="63" t="s">
        <v>433</v>
      </c>
      <c r="E65" s="63" t="s">
        <v>397</v>
      </c>
      <c r="F65" s="72">
        <v>1</v>
      </c>
      <c r="G65" s="63">
        <v>33.052999999999997</v>
      </c>
    </row>
    <row r="66" spans="2:7" x14ac:dyDescent="0.2">
      <c r="B66" s="63" t="s">
        <v>436</v>
      </c>
      <c r="C66" s="71">
        <v>45870</v>
      </c>
      <c r="D66" s="63" t="s">
        <v>432</v>
      </c>
      <c r="E66" s="63" t="s">
        <v>420</v>
      </c>
      <c r="F66" s="72">
        <v>1</v>
      </c>
      <c r="G66" s="63">
        <v>-2E-3</v>
      </c>
    </row>
    <row r="67" spans="2:7" x14ac:dyDescent="0.2">
      <c r="B67" s="63" t="s">
        <v>436</v>
      </c>
      <c r="C67" s="71">
        <v>45870</v>
      </c>
      <c r="D67" s="63" t="s">
        <v>392</v>
      </c>
      <c r="E67" s="63" t="s">
        <v>420</v>
      </c>
      <c r="F67" s="72">
        <v>1</v>
      </c>
      <c r="G67" s="63">
        <v>-3.1E-2</v>
      </c>
    </row>
    <row r="68" spans="2:7" x14ac:dyDescent="0.2">
      <c r="B68" s="63" t="s">
        <v>436</v>
      </c>
      <c r="C68" s="71">
        <v>45870</v>
      </c>
      <c r="D68" s="63" t="s">
        <v>392</v>
      </c>
      <c r="E68" s="63" t="s">
        <v>412</v>
      </c>
      <c r="F68" s="72">
        <v>1</v>
      </c>
      <c r="G68" s="63">
        <v>0</v>
      </c>
    </row>
    <row r="69" spans="2:7" x14ac:dyDescent="0.2">
      <c r="B69" s="63" t="s">
        <v>436</v>
      </c>
      <c r="C69" s="71">
        <v>45870</v>
      </c>
      <c r="D69" s="63" t="s">
        <v>431</v>
      </c>
      <c r="E69" s="63" t="s">
        <v>420</v>
      </c>
      <c r="F69" s="72">
        <v>1</v>
      </c>
      <c r="G69" s="63">
        <v>0</v>
      </c>
    </row>
    <row r="70" spans="2:7" x14ac:dyDescent="0.2">
      <c r="B70" s="63" t="s">
        <v>436</v>
      </c>
      <c r="C70" s="71">
        <v>45870</v>
      </c>
      <c r="D70" s="63" t="s">
        <v>431</v>
      </c>
      <c r="E70" s="63" t="s">
        <v>412</v>
      </c>
      <c r="F70" s="72">
        <v>1</v>
      </c>
      <c r="G70" s="63">
        <v>0</v>
      </c>
    </row>
    <row r="71" spans="2:7" x14ac:dyDescent="0.2">
      <c r="B71" s="63" t="s">
        <v>436</v>
      </c>
      <c r="C71" s="71">
        <v>45870</v>
      </c>
      <c r="D71" s="63" t="s">
        <v>433</v>
      </c>
      <c r="E71" s="63" t="s">
        <v>420</v>
      </c>
      <c r="F71" s="72">
        <v>1</v>
      </c>
      <c r="G71" s="63">
        <v>-2E-3</v>
      </c>
    </row>
    <row r="72" spans="2:7" x14ac:dyDescent="0.2">
      <c r="B72" s="63" t="s">
        <v>436</v>
      </c>
      <c r="C72" s="71">
        <v>45884</v>
      </c>
      <c r="D72" s="63" t="s">
        <v>432</v>
      </c>
      <c r="E72" s="63" t="s">
        <v>397</v>
      </c>
      <c r="F72" s="72">
        <v>1</v>
      </c>
      <c r="G72" s="63">
        <v>35.405000000000001</v>
      </c>
    </row>
    <row r="73" spans="2:7" x14ac:dyDescent="0.2">
      <c r="B73" s="63" t="s">
        <v>436</v>
      </c>
      <c r="C73" s="71">
        <v>45884</v>
      </c>
      <c r="D73" s="63" t="s">
        <v>392</v>
      </c>
      <c r="E73" s="63" t="s">
        <v>397</v>
      </c>
      <c r="F73" s="72">
        <v>1</v>
      </c>
      <c r="G73" s="63">
        <v>5.6890000000000001</v>
      </c>
    </row>
    <row r="74" spans="2:7" x14ac:dyDescent="0.2">
      <c r="B74" s="63" t="s">
        <v>436</v>
      </c>
      <c r="C74" s="71">
        <v>45884</v>
      </c>
      <c r="D74" s="63" t="s">
        <v>431</v>
      </c>
      <c r="E74" s="63" t="s">
        <v>397</v>
      </c>
      <c r="F74" s="72">
        <v>1</v>
      </c>
      <c r="G74" s="63">
        <v>16.568999999999999</v>
      </c>
    </row>
    <row r="75" spans="2:7" x14ac:dyDescent="0.2">
      <c r="B75" s="63" t="s">
        <v>436</v>
      </c>
      <c r="C75" s="71">
        <v>45884</v>
      </c>
      <c r="D75" s="63" t="s">
        <v>433</v>
      </c>
      <c r="E75" s="63" t="s">
        <v>397</v>
      </c>
      <c r="F75" s="72">
        <v>1</v>
      </c>
      <c r="G75" s="63">
        <v>32.432000000000002</v>
      </c>
    </row>
    <row r="76" spans="2:7" x14ac:dyDescent="0.2">
      <c r="B76" s="63" t="s">
        <v>436</v>
      </c>
      <c r="C76" s="71">
        <v>45898</v>
      </c>
      <c r="D76" s="63" t="s">
        <v>432</v>
      </c>
      <c r="E76" s="63" t="s">
        <v>397</v>
      </c>
      <c r="F76" s="72">
        <v>1</v>
      </c>
      <c r="G76" s="63">
        <v>35.085999999999999</v>
      </c>
    </row>
    <row r="77" spans="2:7" x14ac:dyDescent="0.2">
      <c r="B77" s="63" t="s">
        <v>436</v>
      </c>
      <c r="C77" s="71">
        <v>45898</v>
      </c>
      <c r="D77" s="63" t="s">
        <v>392</v>
      </c>
      <c r="E77" s="63" t="s">
        <v>397</v>
      </c>
      <c r="F77" s="72">
        <v>1</v>
      </c>
      <c r="G77" s="63">
        <v>5.6769999999999996</v>
      </c>
    </row>
    <row r="78" spans="2:7" x14ac:dyDescent="0.2">
      <c r="B78" s="63" t="s">
        <v>436</v>
      </c>
      <c r="C78" s="71">
        <v>45898</v>
      </c>
      <c r="D78" s="63" t="s">
        <v>431</v>
      </c>
      <c r="E78" s="63" t="s">
        <v>397</v>
      </c>
      <c r="F78" s="72">
        <v>1</v>
      </c>
      <c r="G78" s="63">
        <v>16.619</v>
      </c>
    </row>
    <row r="79" spans="2:7" x14ac:dyDescent="0.2">
      <c r="B79" s="63" t="s">
        <v>436</v>
      </c>
      <c r="C79" s="71">
        <v>45898</v>
      </c>
      <c r="D79" s="63" t="s">
        <v>433</v>
      </c>
      <c r="E79" s="63" t="s">
        <v>397</v>
      </c>
      <c r="F79" s="72">
        <v>1</v>
      </c>
      <c r="G79" s="63">
        <v>32.308</v>
      </c>
    </row>
    <row r="80" spans="2:7" x14ac:dyDescent="0.2">
      <c r="B80" s="63" t="s">
        <v>436</v>
      </c>
      <c r="C80" s="71">
        <v>45915</v>
      </c>
      <c r="D80" s="63" t="s">
        <v>432</v>
      </c>
      <c r="E80" s="63" t="s">
        <v>397</v>
      </c>
      <c r="F80" s="72">
        <v>1</v>
      </c>
      <c r="G80" s="63">
        <v>34.292999999999999</v>
      </c>
    </row>
    <row r="81" spans="2:7" x14ac:dyDescent="0.2">
      <c r="B81" s="63" t="s">
        <v>436</v>
      </c>
      <c r="C81" s="71">
        <v>45915</v>
      </c>
      <c r="D81" s="63" t="s">
        <v>392</v>
      </c>
      <c r="E81" s="63" t="s">
        <v>397</v>
      </c>
      <c r="F81" s="72">
        <v>1</v>
      </c>
      <c r="G81" s="63">
        <v>5.5389999999999997</v>
      </c>
    </row>
    <row r="82" spans="2:7" x14ac:dyDescent="0.2">
      <c r="B82" s="63" t="s">
        <v>436</v>
      </c>
      <c r="C82" s="71">
        <v>45915</v>
      </c>
      <c r="D82" s="63" t="s">
        <v>431</v>
      </c>
      <c r="E82" s="63" t="s">
        <v>397</v>
      </c>
      <c r="F82" s="72">
        <v>1</v>
      </c>
      <c r="G82" s="63">
        <v>16.114999999999998</v>
      </c>
    </row>
    <row r="83" spans="2:7" x14ac:dyDescent="0.2">
      <c r="B83" s="63" t="s">
        <v>436</v>
      </c>
      <c r="C83" s="71">
        <v>45915</v>
      </c>
      <c r="D83" s="63" t="s">
        <v>433</v>
      </c>
      <c r="E83" s="63" t="s">
        <v>397</v>
      </c>
      <c r="F83" s="72">
        <v>1</v>
      </c>
      <c r="G83" s="63">
        <v>31.609000000000002</v>
      </c>
    </row>
    <row r="84" spans="2:7" x14ac:dyDescent="0.2">
      <c r="B84" s="63" t="s">
        <v>436</v>
      </c>
      <c r="C84" s="71">
        <v>45930</v>
      </c>
      <c r="D84" s="63" t="s">
        <v>432</v>
      </c>
      <c r="E84" s="63" t="s">
        <v>397</v>
      </c>
      <c r="F84" s="72">
        <v>1</v>
      </c>
      <c r="G84" s="63">
        <v>33.908999999999999</v>
      </c>
    </row>
    <row r="85" spans="2:7" x14ac:dyDescent="0.2">
      <c r="B85" s="63" t="s">
        <v>436</v>
      </c>
      <c r="C85" s="71">
        <v>45930</v>
      </c>
      <c r="D85" s="63" t="s">
        <v>392</v>
      </c>
      <c r="E85" s="63" t="s">
        <v>397</v>
      </c>
      <c r="F85" s="72">
        <v>1</v>
      </c>
      <c r="G85" s="63">
        <v>5.4770000000000003</v>
      </c>
    </row>
    <row r="86" spans="2:7" x14ac:dyDescent="0.2">
      <c r="B86" s="63" t="s">
        <v>436</v>
      </c>
      <c r="C86" s="71">
        <v>45930</v>
      </c>
      <c r="D86" s="63" t="s">
        <v>431</v>
      </c>
      <c r="E86" s="63" t="s">
        <v>397</v>
      </c>
      <c r="F86" s="72">
        <v>1</v>
      </c>
      <c r="G86" s="63">
        <v>16.035</v>
      </c>
    </row>
    <row r="87" spans="2:7" x14ac:dyDescent="0.2">
      <c r="B87" s="63" t="s">
        <v>436</v>
      </c>
      <c r="C87" s="71">
        <v>45930</v>
      </c>
      <c r="D87" s="63" t="s">
        <v>433</v>
      </c>
      <c r="E87" s="63" t="s">
        <v>397</v>
      </c>
      <c r="F87" s="72">
        <v>1</v>
      </c>
      <c r="G87" s="63">
        <v>31.498000000000001</v>
      </c>
    </row>
    <row r="88" spans="2:7" x14ac:dyDescent="0.2">
      <c r="B88" s="63" t="s">
        <v>436</v>
      </c>
      <c r="C88" s="71">
        <v>45945</v>
      </c>
      <c r="D88" s="63" t="s">
        <v>432</v>
      </c>
      <c r="E88" s="63" t="s">
        <v>397</v>
      </c>
      <c r="F88" s="72">
        <v>1</v>
      </c>
      <c r="G88" s="63">
        <v>34.122</v>
      </c>
    </row>
    <row r="89" spans="2:7" x14ac:dyDescent="0.2">
      <c r="B89" s="63" t="s">
        <v>436</v>
      </c>
      <c r="C89" s="71">
        <v>45945</v>
      </c>
      <c r="D89" s="63" t="s">
        <v>392</v>
      </c>
      <c r="E89" s="63" t="s">
        <v>397</v>
      </c>
      <c r="F89" s="72">
        <v>1</v>
      </c>
      <c r="G89" s="63">
        <v>5.4880000000000004</v>
      </c>
    </row>
    <row r="90" spans="2:7" x14ac:dyDescent="0.2">
      <c r="B90" s="63" t="s">
        <v>436</v>
      </c>
      <c r="C90" s="71">
        <v>45945</v>
      </c>
      <c r="D90" s="63" t="s">
        <v>431</v>
      </c>
      <c r="E90" s="63" t="s">
        <v>397</v>
      </c>
      <c r="F90" s="72">
        <v>1</v>
      </c>
      <c r="G90" s="63">
        <v>15.955</v>
      </c>
    </row>
    <row r="91" spans="2:7" x14ac:dyDescent="0.2">
      <c r="B91" s="63" t="s">
        <v>436</v>
      </c>
      <c r="C91" s="71">
        <v>45945</v>
      </c>
      <c r="D91" s="63" t="s">
        <v>433</v>
      </c>
      <c r="E91" s="63" t="s">
        <v>397</v>
      </c>
      <c r="F91" s="72">
        <v>1</v>
      </c>
      <c r="G91" s="63">
        <v>31.367999999999999</v>
      </c>
    </row>
    <row r="92" spans="2:7" x14ac:dyDescent="0.2">
      <c r="B92" s="63" t="s">
        <v>436</v>
      </c>
      <c r="C92" s="71">
        <v>45946</v>
      </c>
      <c r="D92" s="63" t="s">
        <v>432</v>
      </c>
      <c r="E92" s="63" t="s">
        <v>408</v>
      </c>
      <c r="F92" s="72">
        <v>1</v>
      </c>
      <c r="G92" s="63">
        <v>-676.83299999999997</v>
      </c>
    </row>
    <row r="93" spans="2:7" x14ac:dyDescent="0.2">
      <c r="B93" s="63" t="s">
        <v>436</v>
      </c>
      <c r="C93" s="71">
        <v>45946</v>
      </c>
      <c r="D93" s="63" t="s">
        <v>432</v>
      </c>
      <c r="E93" s="63" t="s">
        <v>412</v>
      </c>
      <c r="F93" s="72">
        <v>1</v>
      </c>
      <c r="G93" s="63">
        <v>0</v>
      </c>
    </row>
    <row r="94" spans="2:7" x14ac:dyDescent="0.2">
      <c r="B94" s="63" t="s">
        <v>436</v>
      </c>
      <c r="C94" s="71">
        <v>45946</v>
      </c>
      <c r="D94" s="63" t="s">
        <v>392</v>
      </c>
      <c r="E94" s="63" t="s">
        <v>407</v>
      </c>
      <c r="F94" s="72">
        <v>1</v>
      </c>
      <c r="G94" s="63">
        <v>434.60599999999999</v>
      </c>
    </row>
    <row r="95" spans="2:7" x14ac:dyDescent="0.2">
      <c r="B95" s="63" t="s">
        <v>436</v>
      </c>
      <c r="C95" s="71">
        <v>45946</v>
      </c>
      <c r="D95" s="63" t="s">
        <v>431</v>
      </c>
      <c r="E95" s="63" t="s">
        <v>408</v>
      </c>
      <c r="F95" s="72">
        <v>1</v>
      </c>
      <c r="G95" s="63">
        <v>-319.44900000000001</v>
      </c>
    </row>
    <row r="96" spans="2:7" x14ac:dyDescent="0.2">
      <c r="B96" s="63" t="s">
        <v>436</v>
      </c>
      <c r="C96" s="71">
        <v>45946</v>
      </c>
      <c r="D96" s="63" t="s">
        <v>431</v>
      </c>
      <c r="E96" s="63" t="s">
        <v>412</v>
      </c>
      <c r="F96" s="72">
        <v>1</v>
      </c>
      <c r="G96" s="63">
        <v>0</v>
      </c>
    </row>
    <row r="97" spans="2:7" x14ac:dyDescent="0.2">
      <c r="B97" s="63" t="s">
        <v>436</v>
      </c>
      <c r="C97" s="71">
        <v>45946</v>
      </c>
      <c r="D97" s="63" t="s">
        <v>433</v>
      </c>
      <c r="E97" s="63" t="s">
        <v>408</v>
      </c>
      <c r="F97" s="72">
        <v>1</v>
      </c>
      <c r="G97" s="63">
        <v>-606.44100000000003</v>
      </c>
    </row>
    <row r="98" spans="2:7" x14ac:dyDescent="0.2">
      <c r="B98" s="63" t="s">
        <v>436</v>
      </c>
      <c r="C98" s="71">
        <v>45946</v>
      </c>
      <c r="D98" s="63" t="s">
        <v>433</v>
      </c>
      <c r="E98" s="63" t="s">
        <v>412</v>
      </c>
      <c r="F98" s="72">
        <v>1</v>
      </c>
      <c r="G98" s="63">
        <v>0</v>
      </c>
    </row>
    <row r="99" spans="2:7" x14ac:dyDescent="0.2">
      <c r="B99" s="63" t="s">
        <v>436</v>
      </c>
      <c r="C99" s="71">
        <v>45951</v>
      </c>
      <c r="D99" s="63" t="s">
        <v>392</v>
      </c>
      <c r="E99" s="63" t="s">
        <v>408</v>
      </c>
      <c r="F99" s="72">
        <v>1</v>
      </c>
      <c r="G99" s="72">
        <v>-1493.5909999999999</v>
      </c>
    </row>
    <row r="100" spans="2:7" x14ac:dyDescent="0.2">
      <c r="B100" s="63" t="s">
        <v>436</v>
      </c>
      <c r="C100" s="71">
        <v>45951</v>
      </c>
      <c r="D100" s="63" t="s">
        <v>392</v>
      </c>
      <c r="E100" s="63" t="s">
        <v>412</v>
      </c>
      <c r="F100" s="72">
        <v>1</v>
      </c>
      <c r="G100" s="63">
        <v>0</v>
      </c>
    </row>
    <row r="101" spans="2:7" x14ac:dyDescent="0.2">
      <c r="B101" s="63" t="s">
        <v>436</v>
      </c>
      <c r="C101" s="71">
        <v>45961</v>
      </c>
      <c r="D101" s="63" t="s">
        <v>392</v>
      </c>
      <c r="E101" s="63" t="s">
        <v>397</v>
      </c>
      <c r="F101" s="72">
        <v>1</v>
      </c>
      <c r="G101" s="63">
        <v>2.6749999999999998</v>
      </c>
    </row>
    <row r="102" spans="2:7" x14ac:dyDescent="0.2">
      <c r="B102" s="63" t="s">
        <v>436</v>
      </c>
      <c r="C102" s="71">
        <v>45964</v>
      </c>
      <c r="D102" s="63" t="s">
        <v>392</v>
      </c>
      <c r="E102" s="63" t="s">
        <v>420</v>
      </c>
      <c r="F102" s="72">
        <v>1</v>
      </c>
      <c r="G102" s="63">
        <v>-2.9000000000000001E-2</v>
      </c>
    </row>
    <row r="103" spans="2:7" x14ac:dyDescent="0.2">
      <c r="B103" s="63" t="s">
        <v>436</v>
      </c>
      <c r="C103" s="71">
        <v>45964</v>
      </c>
      <c r="D103" s="63" t="s">
        <v>392</v>
      </c>
      <c r="E103" s="63" t="s">
        <v>412</v>
      </c>
      <c r="F103" s="72">
        <v>1</v>
      </c>
      <c r="G103" s="63">
        <v>0</v>
      </c>
    </row>
    <row r="104" spans="2:7" x14ac:dyDescent="0.2">
      <c r="B104" s="63" t="s">
        <v>436</v>
      </c>
      <c r="C104" s="71">
        <v>45975</v>
      </c>
      <c r="D104" s="63" t="s">
        <v>392</v>
      </c>
      <c r="E104" s="63" t="s">
        <v>397</v>
      </c>
      <c r="F104" s="72">
        <v>1</v>
      </c>
      <c r="G104" s="63">
        <v>2.7170000000000001</v>
      </c>
    </row>
    <row r="105" spans="2:7" x14ac:dyDescent="0.2">
      <c r="B105" s="63" t="s">
        <v>436</v>
      </c>
      <c r="C105" s="71">
        <v>45989</v>
      </c>
      <c r="D105" s="63" t="s">
        <v>392</v>
      </c>
      <c r="E105" s="63" t="s">
        <v>397</v>
      </c>
      <c r="F105" s="72">
        <v>1</v>
      </c>
      <c r="G105" s="63">
        <v>2.669</v>
      </c>
    </row>
    <row r="106" spans="2:7" x14ac:dyDescent="0.2">
      <c r="B106" s="63" t="s">
        <v>436</v>
      </c>
      <c r="C106" s="71">
        <v>46006</v>
      </c>
      <c r="D106" s="63" t="s">
        <v>392</v>
      </c>
      <c r="E106" s="63" t="s">
        <v>397</v>
      </c>
      <c r="F106" s="72">
        <v>1</v>
      </c>
      <c r="G106" s="63">
        <v>22.597000000000001</v>
      </c>
    </row>
    <row r="107" spans="2:7" x14ac:dyDescent="0.2">
      <c r="B107" s="63" t="s">
        <v>436</v>
      </c>
      <c r="C107" s="71">
        <v>46006</v>
      </c>
      <c r="D107" s="63" t="s">
        <v>434</v>
      </c>
      <c r="E107" s="63" t="s">
        <v>397</v>
      </c>
      <c r="F107" s="72">
        <v>1</v>
      </c>
      <c r="G107" s="63">
        <v>62.463999999999999</v>
      </c>
    </row>
    <row r="108" spans="2:7" x14ac:dyDescent="0.2">
      <c r="B108" s="63" t="s">
        <v>436</v>
      </c>
      <c r="C108" s="71">
        <v>46006</v>
      </c>
      <c r="D108" s="63" t="s">
        <v>430</v>
      </c>
      <c r="E108" s="63" t="s">
        <v>397</v>
      </c>
      <c r="F108" s="72">
        <v>1</v>
      </c>
      <c r="G108" s="63">
        <v>33.356999999999999</v>
      </c>
    </row>
    <row r="109" spans="2:7" x14ac:dyDescent="0.2">
      <c r="B109" s="63" t="s">
        <v>436</v>
      </c>
      <c r="C109" s="71">
        <v>46006</v>
      </c>
      <c r="D109" s="63" t="s">
        <v>392</v>
      </c>
      <c r="E109" s="63" t="s">
        <v>397</v>
      </c>
      <c r="F109" s="72">
        <v>1</v>
      </c>
      <c r="G109" s="63">
        <v>35.243000000000002</v>
      </c>
    </row>
    <row r="110" spans="2:7" x14ac:dyDescent="0.2">
      <c r="B110" s="63" t="s">
        <v>436</v>
      </c>
      <c r="C110" s="71">
        <v>46006</v>
      </c>
      <c r="D110" s="63" t="s">
        <v>435</v>
      </c>
      <c r="E110" s="63" t="s">
        <v>397</v>
      </c>
      <c r="F110" s="72">
        <v>1</v>
      </c>
      <c r="G110" s="63">
        <v>11.384</v>
      </c>
    </row>
    <row r="111" spans="2:7" x14ac:dyDescent="0.2">
      <c r="B111" s="63" t="s">
        <v>436</v>
      </c>
      <c r="C111" s="71">
        <v>46006</v>
      </c>
      <c r="D111" s="63" t="s">
        <v>431</v>
      </c>
      <c r="E111" s="63" t="s">
        <v>397</v>
      </c>
      <c r="F111" s="72">
        <v>1</v>
      </c>
      <c r="G111" s="63">
        <v>38.326000000000001</v>
      </c>
    </row>
    <row r="112" spans="2:7" x14ac:dyDescent="0.2">
      <c r="B112" s="63" t="s">
        <v>436</v>
      </c>
      <c r="C112" s="71">
        <v>46022</v>
      </c>
      <c r="D112" s="63" t="s">
        <v>434</v>
      </c>
      <c r="E112" s="63" t="s">
        <v>397</v>
      </c>
      <c r="F112" s="72">
        <v>1</v>
      </c>
      <c r="G112" s="63">
        <v>18.972999999999999</v>
      </c>
    </row>
    <row r="113" spans="2:7" x14ac:dyDescent="0.2">
      <c r="B113" s="63" t="s">
        <v>436</v>
      </c>
      <c r="C113" s="71">
        <v>46022</v>
      </c>
      <c r="D113" s="63" t="s">
        <v>430</v>
      </c>
      <c r="E113" s="63" t="s">
        <v>397</v>
      </c>
      <c r="F113" s="72">
        <v>1</v>
      </c>
      <c r="G113" s="63">
        <v>10.254</v>
      </c>
    </row>
    <row r="114" spans="2:7" x14ac:dyDescent="0.2">
      <c r="B114" s="63" t="s">
        <v>436</v>
      </c>
      <c r="C114" s="71">
        <v>46022</v>
      </c>
      <c r="D114" s="63" t="s">
        <v>392</v>
      </c>
      <c r="E114" s="63" t="s">
        <v>397</v>
      </c>
      <c r="F114" s="72">
        <v>1</v>
      </c>
      <c r="G114" s="63">
        <v>10.670999999999999</v>
      </c>
    </row>
    <row r="115" spans="2:7" x14ac:dyDescent="0.2">
      <c r="B115" s="63" t="s">
        <v>436</v>
      </c>
      <c r="C115" s="71">
        <v>46022</v>
      </c>
      <c r="D115" s="63" t="s">
        <v>435</v>
      </c>
      <c r="E115" s="63" t="s">
        <v>397</v>
      </c>
      <c r="F115" s="72">
        <v>1</v>
      </c>
      <c r="G115" s="63">
        <v>3.456</v>
      </c>
    </row>
    <row r="116" spans="2:7" x14ac:dyDescent="0.2">
      <c r="B116" s="63" t="s">
        <v>436</v>
      </c>
      <c r="C116" s="71">
        <v>46022</v>
      </c>
      <c r="D116" s="63" t="s">
        <v>431</v>
      </c>
      <c r="E116" s="63" t="s">
        <v>397</v>
      </c>
      <c r="F116" s="72">
        <v>1</v>
      </c>
      <c r="G116" s="63">
        <v>11.52</v>
      </c>
    </row>
    <row r="117" spans="2:7" x14ac:dyDescent="0.2">
      <c r="B117" s="63" t="s">
        <v>436</v>
      </c>
      <c r="C117" s="71">
        <v>46037</v>
      </c>
      <c r="D117" s="63" t="s">
        <v>392</v>
      </c>
      <c r="E117" s="63" t="s">
        <v>397</v>
      </c>
      <c r="F117" s="72">
        <v>1</v>
      </c>
      <c r="G117" s="63">
        <v>2.629</v>
      </c>
    </row>
    <row r="118" spans="2:7" x14ac:dyDescent="0.2">
      <c r="B118" s="63" t="s">
        <v>436</v>
      </c>
      <c r="C118" s="71">
        <v>46052</v>
      </c>
      <c r="D118" s="63" t="s">
        <v>392</v>
      </c>
      <c r="E118" s="63" t="s">
        <v>397</v>
      </c>
      <c r="F118" s="72">
        <v>1</v>
      </c>
      <c r="G118" s="63">
        <v>2.63</v>
      </c>
    </row>
    <row r="119" spans="2:7" x14ac:dyDescent="0.2">
      <c r="B119" s="63" t="s">
        <v>436</v>
      </c>
      <c r="C119" s="71">
        <v>46055</v>
      </c>
      <c r="D119" s="63" t="s">
        <v>392</v>
      </c>
      <c r="E119" s="63" t="s">
        <v>420</v>
      </c>
      <c r="F119" s="72">
        <v>1</v>
      </c>
      <c r="G119" s="63">
        <v>-2.8000000000000001E-2</v>
      </c>
    </row>
    <row r="120" spans="2:7" x14ac:dyDescent="0.2">
      <c r="B120" s="63" t="s">
        <v>436</v>
      </c>
      <c r="C120" s="71">
        <v>46055</v>
      </c>
      <c r="D120" s="63" t="s">
        <v>392</v>
      </c>
      <c r="E120" s="63" t="s">
        <v>412</v>
      </c>
      <c r="F120" s="72">
        <v>1</v>
      </c>
      <c r="G120" s="63">
        <v>0</v>
      </c>
    </row>
    <row r="121" spans="2:7" x14ac:dyDescent="0.2">
      <c r="B121" s="63" t="s">
        <v>436</v>
      </c>
      <c r="C121" s="71">
        <v>46066</v>
      </c>
      <c r="D121" s="63" t="s">
        <v>392</v>
      </c>
      <c r="E121" s="63" t="s">
        <v>397</v>
      </c>
      <c r="F121" s="72">
        <v>1</v>
      </c>
      <c r="G121" s="63">
        <v>2.6669999999999998</v>
      </c>
    </row>
    <row r="122" spans="2:7" x14ac:dyDescent="0.2">
      <c r="B122" s="63" t="s">
        <v>436</v>
      </c>
      <c r="C122" s="71">
        <v>46080</v>
      </c>
      <c r="D122" s="63" t="s">
        <v>392</v>
      </c>
      <c r="E122" s="63" t="s">
        <v>397</v>
      </c>
      <c r="F122" s="72">
        <v>1</v>
      </c>
      <c r="G122" s="63">
        <v>2.65</v>
      </c>
    </row>
    <row r="123" spans="2:7" x14ac:dyDescent="0.2">
      <c r="B123" s="63" t="s">
        <v>436</v>
      </c>
      <c r="C123" s="71">
        <v>46094</v>
      </c>
      <c r="D123" s="63" t="s">
        <v>392</v>
      </c>
      <c r="E123" s="63" t="s">
        <v>397</v>
      </c>
      <c r="F123" s="72">
        <v>1</v>
      </c>
      <c r="G123" s="63">
        <v>2.7469999999999999</v>
      </c>
    </row>
    <row r="124" spans="2:7" x14ac:dyDescent="0.2">
      <c r="B124" s="63" t="s">
        <v>436</v>
      </c>
      <c r="C124" s="71">
        <v>46112</v>
      </c>
      <c r="D124" s="63" t="s">
        <v>392</v>
      </c>
      <c r="E124" s="63" t="s">
        <v>397</v>
      </c>
      <c r="F124" s="72">
        <v>1</v>
      </c>
      <c r="G124" s="63">
        <v>2.7890000000000001</v>
      </c>
    </row>
    <row r="125" spans="2:7" x14ac:dyDescent="0.2">
      <c r="B125" s="63" t="s">
        <v>436</v>
      </c>
      <c r="C125" s="71">
        <v>46127</v>
      </c>
      <c r="D125" s="63" t="s">
        <v>392</v>
      </c>
      <c r="E125" s="63" t="s">
        <v>397</v>
      </c>
      <c r="F125" s="72">
        <v>1</v>
      </c>
      <c r="G125" s="63">
        <v>2.5920000000000001</v>
      </c>
    </row>
    <row r="126" spans="2:7" x14ac:dyDescent="0.2">
      <c r="B126" s="63" t="s">
        <v>436</v>
      </c>
      <c r="C126" s="71">
        <v>46142</v>
      </c>
      <c r="D126" s="63" t="s">
        <v>392</v>
      </c>
      <c r="E126" s="63" t="s">
        <v>397</v>
      </c>
      <c r="F126" s="72">
        <v>1</v>
      </c>
      <c r="G126" s="63">
        <v>2.524</v>
      </c>
    </row>
    <row r="127" spans="2:7" x14ac:dyDescent="0.2">
      <c r="B127" s="63" t="s">
        <v>436</v>
      </c>
      <c r="C127" s="71">
        <v>46143</v>
      </c>
      <c r="D127" s="63" t="s">
        <v>392</v>
      </c>
      <c r="E127" s="63" t="s">
        <v>420</v>
      </c>
      <c r="F127" s="72">
        <v>1</v>
      </c>
      <c r="G127" s="63">
        <v>-2.8000000000000001E-2</v>
      </c>
    </row>
    <row r="128" spans="2:7" x14ac:dyDescent="0.2">
      <c r="B128" s="63" t="s">
        <v>436</v>
      </c>
      <c r="C128" s="71">
        <v>46143</v>
      </c>
      <c r="D128" s="63" t="s">
        <v>392</v>
      </c>
      <c r="E128" s="63" t="s">
        <v>412</v>
      </c>
      <c r="F128" s="72">
        <v>1</v>
      </c>
      <c r="G128" s="63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C05C-F35B-E448-98E1-B4785F3D18EF}">
  <dimension ref="B2:P342"/>
  <sheetViews>
    <sheetView topLeftCell="A293" workbookViewId="0">
      <selection activeCell="I341" sqref="I341"/>
    </sheetView>
  </sheetViews>
  <sheetFormatPr baseColWidth="10" defaultRowHeight="16" x14ac:dyDescent="0.2"/>
  <cols>
    <col min="1" max="1" width="10.83203125" style="79"/>
    <col min="2" max="2" width="17.1640625" style="79" customWidth="1"/>
    <col min="3" max="3" width="13.1640625" style="79" customWidth="1"/>
    <col min="4" max="4" width="8.6640625" style="79" customWidth="1"/>
    <col min="5" max="5" width="42.1640625" style="79" customWidth="1"/>
    <col min="6" max="6" width="12.6640625" style="79" customWidth="1"/>
    <col min="7" max="7" width="9" style="79" customWidth="1"/>
    <col min="8" max="8" width="15.5" style="79" customWidth="1"/>
    <col min="9" max="9" width="12.33203125" style="79" customWidth="1"/>
    <col min="10" max="10" width="21.6640625" style="79" customWidth="1"/>
    <col min="11" max="11" width="23" style="79" customWidth="1"/>
    <col min="12" max="12" width="19.6640625" style="79" customWidth="1"/>
    <col min="13" max="13" width="20.83203125" style="79" customWidth="1"/>
    <col min="14" max="14" width="17.1640625" style="79" customWidth="1"/>
    <col min="15" max="15" width="17" style="79" customWidth="1"/>
    <col min="16" max="16" width="16.83203125" style="79" customWidth="1"/>
    <col min="17" max="16384" width="10.83203125" style="79"/>
  </cols>
  <sheetData>
    <row r="2" spans="2:16" x14ac:dyDescent="0.2">
      <c r="B2" s="78" t="s">
        <v>377</v>
      </c>
      <c r="C2" s="78" t="s">
        <v>21</v>
      </c>
      <c r="D2" s="78" t="s">
        <v>85</v>
      </c>
      <c r="E2" s="78" t="s">
        <v>378</v>
      </c>
      <c r="F2" s="78" t="s">
        <v>379</v>
      </c>
      <c r="G2" s="78" t="s">
        <v>380</v>
      </c>
      <c r="H2" s="78" t="s">
        <v>381</v>
      </c>
      <c r="I2" s="78" t="s">
        <v>382</v>
      </c>
      <c r="J2" s="78" t="s">
        <v>383</v>
      </c>
      <c r="K2" s="78" t="s">
        <v>384</v>
      </c>
      <c r="L2" s="78" t="s">
        <v>385</v>
      </c>
      <c r="M2" s="78" t="s">
        <v>386</v>
      </c>
      <c r="N2" s="78" t="s">
        <v>387</v>
      </c>
      <c r="O2" s="78" t="s">
        <v>388</v>
      </c>
      <c r="P2" s="78" t="s">
        <v>389</v>
      </c>
    </row>
    <row r="3" spans="2:16" x14ac:dyDescent="0.2">
      <c r="B3" s="80" t="s">
        <v>638</v>
      </c>
      <c r="C3" s="80" t="s">
        <v>493</v>
      </c>
      <c r="D3" s="80" t="s">
        <v>494</v>
      </c>
      <c r="E3" s="80" t="s">
        <v>495</v>
      </c>
      <c r="F3" s="80"/>
      <c r="G3" s="80"/>
      <c r="H3" s="80"/>
      <c r="I3" s="81">
        <v>133977.68</v>
      </c>
      <c r="J3" s="80"/>
      <c r="K3" s="80"/>
      <c r="L3" s="80"/>
      <c r="M3" s="80"/>
      <c r="N3" s="82">
        <v>7.1400000000000005E-2</v>
      </c>
      <c r="O3" s="80"/>
      <c r="P3" s="80"/>
    </row>
    <row r="4" spans="2:16" x14ac:dyDescent="0.2">
      <c r="B4" s="80" t="s">
        <v>638</v>
      </c>
      <c r="C4" s="80" t="s">
        <v>493</v>
      </c>
      <c r="D4" s="80" t="s">
        <v>496</v>
      </c>
      <c r="E4" s="80" t="s">
        <v>497</v>
      </c>
      <c r="F4" s="80">
        <v>38261.921999999999</v>
      </c>
      <c r="G4" s="81">
        <v>7.24</v>
      </c>
      <c r="H4" s="81">
        <v>0.01</v>
      </c>
      <c r="I4" s="81">
        <v>277016.31</v>
      </c>
      <c r="J4" s="81">
        <v>382.61</v>
      </c>
      <c r="K4" s="82">
        <v>1.2999999999999999E-3</v>
      </c>
      <c r="L4" s="81">
        <v>1306.31</v>
      </c>
      <c r="M4" s="82">
        <v>4.7000000000000002E-3</v>
      </c>
      <c r="N4" s="82">
        <v>0.1477</v>
      </c>
      <c r="O4" s="81">
        <v>275710</v>
      </c>
      <c r="P4" s="81">
        <v>7.21</v>
      </c>
    </row>
    <row r="5" spans="2:16" x14ac:dyDescent="0.2">
      <c r="B5" s="80" t="s">
        <v>638</v>
      </c>
      <c r="C5" s="80" t="s">
        <v>493</v>
      </c>
      <c r="D5" s="80" t="s">
        <v>498</v>
      </c>
      <c r="E5" s="80" t="s">
        <v>499</v>
      </c>
      <c r="F5" s="80">
        <v>5397.92</v>
      </c>
      <c r="G5" s="81">
        <v>39.880000000000003</v>
      </c>
      <c r="H5" s="81">
        <v>0.17</v>
      </c>
      <c r="I5" s="81">
        <v>215269.04</v>
      </c>
      <c r="J5" s="81">
        <v>917.64</v>
      </c>
      <c r="K5" s="82">
        <v>4.1999999999999997E-3</v>
      </c>
      <c r="L5" s="81">
        <v>60281.82</v>
      </c>
      <c r="M5" s="82">
        <v>0.38890000000000002</v>
      </c>
      <c r="N5" s="82">
        <v>0.1148</v>
      </c>
      <c r="O5" s="81">
        <v>154987.22</v>
      </c>
      <c r="P5" s="81">
        <v>28.71</v>
      </c>
    </row>
    <row r="6" spans="2:16" x14ac:dyDescent="0.2">
      <c r="B6" s="80" t="s">
        <v>638</v>
      </c>
      <c r="C6" s="80" t="s">
        <v>493</v>
      </c>
      <c r="D6" s="80" t="s">
        <v>500</v>
      </c>
      <c r="E6" s="80" t="s">
        <v>501</v>
      </c>
      <c r="F6" s="80">
        <v>1075.6690000000001</v>
      </c>
      <c r="G6" s="81">
        <v>57.46</v>
      </c>
      <c r="H6" s="81">
        <v>0.02</v>
      </c>
      <c r="I6" s="81">
        <v>61807.94</v>
      </c>
      <c r="J6" s="81">
        <v>21.51</v>
      </c>
      <c r="K6" s="82">
        <v>2.9999999999999997E-4</v>
      </c>
      <c r="L6" s="81">
        <v>17374.689999999999</v>
      </c>
      <c r="M6" s="82">
        <v>0.39100000000000001</v>
      </c>
      <c r="N6" s="82">
        <v>3.2899999999999999E-2</v>
      </c>
      <c r="O6" s="81">
        <v>44433.25</v>
      </c>
      <c r="P6" s="81">
        <v>41.31</v>
      </c>
    </row>
    <row r="7" spans="2:16" x14ac:dyDescent="0.2">
      <c r="B7" s="80" t="s">
        <v>638</v>
      </c>
      <c r="C7" s="80" t="s">
        <v>493</v>
      </c>
      <c r="D7" s="80" t="s">
        <v>502</v>
      </c>
      <c r="E7" s="80" t="s">
        <v>503</v>
      </c>
      <c r="F7" s="80">
        <v>4561.5940000000001</v>
      </c>
      <c r="G7" s="81">
        <v>52.64</v>
      </c>
      <c r="H7" s="81">
        <v>0.06</v>
      </c>
      <c r="I7" s="81">
        <v>240122.3</v>
      </c>
      <c r="J7" s="81">
        <v>273.69</v>
      </c>
      <c r="K7" s="82">
        <v>1.1000000000000001E-3</v>
      </c>
      <c r="L7" s="81">
        <v>39163.32</v>
      </c>
      <c r="M7" s="82">
        <v>0.1948</v>
      </c>
      <c r="N7" s="82">
        <v>0.128</v>
      </c>
      <c r="O7" s="81">
        <v>200958.98</v>
      </c>
      <c r="P7" s="81">
        <v>44.05</v>
      </c>
    </row>
    <row r="8" spans="2:16" x14ac:dyDescent="0.2">
      <c r="B8" s="80" t="s">
        <v>638</v>
      </c>
      <c r="C8" s="80" t="s">
        <v>493</v>
      </c>
      <c r="D8" s="80" t="s">
        <v>504</v>
      </c>
      <c r="E8" s="80" t="s">
        <v>505</v>
      </c>
      <c r="F8" s="80">
        <v>17324.871999999999</v>
      </c>
      <c r="G8" s="81">
        <v>16.25</v>
      </c>
      <c r="H8" s="81">
        <v>-0.08</v>
      </c>
      <c r="I8" s="81">
        <v>281529.17</v>
      </c>
      <c r="J8" s="81">
        <v>-1385.99</v>
      </c>
      <c r="K8" s="82">
        <v>-4.8999999999999998E-3</v>
      </c>
      <c r="L8" s="81">
        <v>31529.17</v>
      </c>
      <c r="M8" s="82">
        <v>0.12609999999999999</v>
      </c>
      <c r="N8" s="82">
        <v>0.15010000000000001</v>
      </c>
      <c r="O8" s="81">
        <v>250000</v>
      </c>
      <c r="P8" s="81">
        <v>14.43</v>
      </c>
    </row>
    <row r="9" spans="2:16" x14ac:dyDescent="0.2">
      <c r="B9" s="80" t="s">
        <v>638</v>
      </c>
      <c r="C9" s="80" t="s">
        <v>493</v>
      </c>
      <c r="D9" s="80" t="s">
        <v>506</v>
      </c>
      <c r="E9" s="80" t="s">
        <v>507</v>
      </c>
      <c r="F9" s="80">
        <v>4711.1610000000001</v>
      </c>
      <c r="G9" s="81">
        <v>75.89</v>
      </c>
      <c r="H9" s="81">
        <v>0.82</v>
      </c>
      <c r="I9" s="81">
        <v>357530</v>
      </c>
      <c r="J9" s="81">
        <v>3863.15</v>
      </c>
      <c r="K9" s="82">
        <v>1.09E-2</v>
      </c>
      <c r="L9" s="81">
        <v>345152.63</v>
      </c>
      <c r="M9" s="82">
        <v>27.8857</v>
      </c>
      <c r="N9" s="82">
        <v>0.19059999999999999</v>
      </c>
      <c r="O9" s="81">
        <v>12377.37</v>
      </c>
      <c r="P9" s="81">
        <v>2.63</v>
      </c>
    </row>
    <row r="10" spans="2:16" x14ac:dyDescent="0.2">
      <c r="B10" s="80" t="s">
        <v>638</v>
      </c>
      <c r="C10" s="80" t="s">
        <v>493</v>
      </c>
      <c r="D10" s="80" t="s">
        <v>508</v>
      </c>
      <c r="E10" s="80" t="s">
        <v>509</v>
      </c>
      <c r="F10" s="80">
        <v>3606.2359999999999</v>
      </c>
      <c r="G10" s="81">
        <v>61.99</v>
      </c>
      <c r="H10" s="81">
        <v>-7.0000000000000007E-2</v>
      </c>
      <c r="I10" s="81">
        <v>223550.56</v>
      </c>
      <c r="J10" s="81">
        <v>-252.44</v>
      </c>
      <c r="K10" s="82">
        <v>-1.1999999999999999E-3</v>
      </c>
      <c r="L10" s="81">
        <v>13450.56</v>
      </c>
      <c r="M10" s="82">
        <v>6.4000000000000001E-2</v>
      </c>
      <c r="N10" s="82">
        <v>0.1192</v>
      </c>
      <c r="O10" s="81">
        <v>210100</v>
      </c>
      <c r="P10" s="81">
        <v>58.26</v>
      </c>
    </row>
    <row r="11" spans="2:16" x14ac:dyDescent="0.2">
      <c r="B11" s="80" t="s">
        <v>638</v>
      </c>
      <c r="C11" s="80" t="s">
        <v>493</v>
      </c>
      <c r="D11" s="80" t="s">
        <v>488</v>
      </c>
      <c r="E11" s="80" t="s">
        <v>510</v>
      </c>
      <c r="F11" s="80">
        <v>625.37800000000004</v>
      </c>
      <c r="G11" s="81">
        <v>136.15</v>
      </c>
      <c r="H11" s="81">
        <v>-0.3</v>
      </c>
      <c r="I11" s="81">
        <v>85145.21</v>
      </c>
      <c r="J11" s="81">
        <v>-187.62</v>
      </c>
      <c r="K11" s="82">
        <v>-2.2000000000000001E-3</v>
      </c>
      <c r="L11" s="81">
        <v>445.21</v>
      </c>
      <c r="M11" s="82">
        <v>5.1999999999999998E-3</v>
      </c>
      <c r="N11" s="82">
        <v>4.5400000000000003E-2</v>
      </c>
      <c r="O11" s="81">
        <v>84700</v>
      </c>
      <c r="P11" s="81">
        <v>135.44</v>
      </c>
    </row>
    <row r="13" spans="2:16" x14ac:dyDescent="0.2">
      <c r="B13" s="79" t="s">
        <v>511</v>
      </c>
    </row>
    <row r="14" spans="2:16" x14ac:dyDescent="0.2">
      <c r="B14" s="79" t="s">
        <v>377</v>
      </c>
      <c r="C14" s="79" t="s">
        <v>512</v>
      </c>
      <c r="D14" s="79" t="s">
        <v>513</v>
      </c>
      <c r="E14" s="79" t="s">
        <v>85</v>
      </c>
      <c r="F14" s="79" t="s">
        <v>378</v>
      </c>
      <c r="G14" s="79" t="s">
        <v>514</v>
      </c>
      <c r="H14" s="79" t="s">
        <v>515</v>
      </c>
      <c r="I14" s="79" t="s">
        <v>379</v>
      </c>
      <c r="J14" s="79" t="s">
        <v>516</v>
      </c>
      <c r="K14" s="79" t="s">
        <v>517</v>
      </c>
      <c r="L14" s="79" t="s">
        <v>518</v>
      </c>
      <c r="M14" s="79" t="s">
        <v>519</v>
      </c>
      <c r="N14" s="79" t="s">
        <v>520</v>
      </c>
      <c r="O14" s="79" t="s">
        <v>521</v>
      </c>
    </row>
    <row r="15" spans="2:16" x14ac:dyDescent="0.2">
      <c r="B15" s="79" t="s">
        <v>638</v>
      </c>
      <c r="C15" s="83">
        <v>44943</v>
      </c>
      <c r="D15" s="79" t="s">
        <v>527</v>
      </c>
      <c r="E15" s="79" t="s">
        <v>539</v>
      </c>
      <c r="F15" s="79" t="s">
        <v>528</v>
      </c>
      <c r="G15" s="79" t="s">
        <v>525</v>
      </c>
      <c r="I15" s="79">
        <v>0</v>
      </c>
      <c r="M15" s="79">
        <v>312.48</v>
      </c>
      <c r="N15" s="79">
        <v>328.5</v>
      </c>
    </row>
    <row r="16" spans="2:16" x14ac:dyDescent="0.2">
      <c r="B16" s="79" t="s">
        <v>638</v>
      </c>
      <c r="C16" s="83">
        <v>44957</v>
      </c>
      <c r="D16" s="79" t="s">
        <v>533</v>
      </c>
      <c r="E16" s="79" t="s">
        <v>496</v>
      </c>
      <c r="F16" s="79" t="s">
        <v>497</v>
      </c>
      <c r="G16" s="79" t="s">
        <v>525</v>
      </c>
      <c r="H16" s="79">
        <v>7.3</v>
      </c>
      <c r="I16" s="79">
        <v>1</v>
      </c>
      <c r="M16" s="79">
        <v>-189.34</v>
      </c>
      <c r="N16" s="79">
        <v>329.03</v>
      </c>
    </row>
    <row r="17" spans="2:14" x14ac:dyDescent="0.2">
      <c r="B17" s="79" t="s">
        <v>638</v>
      </c>
      <c r="C17" s="83">
        <v>44957</v>
      </c>
      <c r="D17" s="79" t="s">
        <v>534</v>
      </c>
      <c r="E17" s="79" t="s">
        <v>496</v>
      </c>
      <c r="F17" s="79" t="s">
        <v>497</v>
      </c>
      <c r="G17" s="79" t="s">
        <v>525</v>
      </c>
      <c r="I17" s="79">
        <v>0</v>
      </c>
      <c r="M17" s="79">
        <v>189.34</v>
      </c>
      <c r="N17" s="79">
        <v>518.37</v>
      </c>
    </row>
    <row r="18" spans="2:14" x14ac:dyDescent="0.2">
      <c r="B18" s="79" t="s">
        <v>638</v>
      </c>
      <c r="C18" s="83">
        <v>44957</v>
      </c>
      <c r="D18" s="79" t="s">
        <v>522</v>
      </c>
      <c r="E18" s="79" t="s">
        <v>523</v>
      </c>
      <c r="F18" s="79" t="s">
        <v>524</v>
      </c>
      <c r="G18" s="79" t="s">
        <v>525</v>
      </c>
      <c r="H18" s="79">
        <v>1</v>
      </c>
      <c r="I18" s="79">
        <v>1</v>
      </c>
      <c r="M18" s="79">
        <v>-0.53</v>
      </c>
      <c r="N18" s="79">
        <v>329.03</v>
      </c>
    </row>
    <row r="19" spans="2:14" x14ac:dyDescent="0.2">
      <c r="B19" s="79" t="s">
        <v>638</v>
      </c>
      <c r="C19" s="83">
        <v>44957</v>
      </c>
      <c r="D19" s="79" t="s">
        <v>526</v>
      </c>
      <c r="E19" s="79" t="s">
        <v>523</v>
      </c>
      <c r="F19" s="79" t="s">
        <v>524</v>
      </c>
      <c r="G19" s="79" t="s">
        <v>525</v>
      </c>
      <c r="I19" s="79">
        <v>0</v>
      </c>
      <c r="M19" s="79">
        <v>0.53</v>
      </c>
      <c r="N19" s="79">
        <v>329.03</v>
      </c>
    </row>
    <row r="20" spans="2:14" x14ac:dyDescent="0.2">
      <c r="B20" s="79" t="s">
        <v>638</v>
      </c>
      <c r="C20" s="83">
        <v>44958</v>
      </c>
      <c r="D20" s="79" t="s">
        <v>527</v>
      </c>
      <c r="E20" s="79" t="s">
        <v>539</v>
      </c>
      <c r="F20" s="79" t="s">
        <v>528</v>
      </c>
      <c r="G20" s="79" t="s">
        <v>525</v>
      </c>
      <c r="I20" s="79">
        <v>0</v>
      </c>
      <c r="M20" s="79">
        <v>312.48</v>
      </c>
      <c r="N20" s="79">
        <v>641.51</v>
      </c>
    </row>
    <row r="21" spans="2:14" x14ac:dyDescent="0.2">
      <c r="B21" s="79" t="s">
        <v>638</v>
      </c>
      <c r="C21" s="83">
        <v>44973</v>
      </c>
      <c r="D21" s="79" t="s">
        <v>527</v>
      </c>
      <c r="E21" s="79" t="s">
        <v>539</v>
      </c>
      <c r="F21" s="79" t="s">
        <v>528</v>
      </c>
      <c r="G21" s="79" t="s">
        <v>525</v>
      </c>
      <c r="I21" s="79">
        <v>0</v>
      </c>
      <c r="M21" s="79">
        <v>312.48</v>
      </c>
      <c r="N21" s="79">
        <v>953.99</v>
      </c>
    </row>
    <row r="22" spans="2:14" x14ac:dyDescent="0.2">
      <c r="B22" s="79" t="s">
        <v>638</v>
      </c>
      <c r="C22" s="83">
        <v>44985</v>
      </c>
      <c r="D22" s="79" t="s">
        <v>533</v>
      </c>
      <c r="E22" s="79" t="s">
        <v>496</v>
      </c>
      <c r="F22" s="79" t="s">
        <v>497</v>
      </c>
      <c r="G22" s="79" t="s">
        <v>525</v>
      </c>
      <c r="H22" s="79">
        <v>7.1</v>
      </c>
      <c r="I22" s="79">
        <v>1</v>
      </c>
      <c r="M22" s="79">
        <v>-173.84</v>
      </c>
      <c r="N22" s="79">
        <v>956.45</v>
      </c>
    </row>
    <row r="23" spans="2:14" x14ac:dyDescent="0.2">
      <c r="B23" s="79" t="s">
        <v>638</v>
      </c>
      <c r="C23" s="83">
        <v>44985</v>
      </c>
      <c r="D23" s="79" t="s">
        <v>534</v>
      </c>
      <c r="E23" s="79" t="s">
        <v>496</v>
      </c>
      <c r="F23" s="79" t="s">
        <v>497</v>
      </c>
      <c r="G23" s="79" t="s">
        <v>525</v>
      </c>
      <c r="I23" s="79">
        <v>0</v>
      </c>
      <c r="M23" s="79">
        <v>173.84</v>
      </c>
      <c r="N23" s="79">
        <v>1130.29</v>
      </c>
    </row>
    <row r="24" spans="2:14" x14ac:dyDescent="0.2">
      <c r="B24" s="79" t="s">
        <v>638</v>
      </c>
      <c r="C24" s="83">
        <v>44985</v>
      </c>
      <c r="D24" s="79" t="s">
        <v>522</v>
      </c>
      <c r="E24" s="79" t="s">
        <v>523</v>
      </c>
      <c r="F24" s="79" t="s">
        <v>524</v>
      </c>
      <c r="G24" s="79" t="s">
        <v>525</v>
      </c>
      <c r="H24" s="79">
        <v>1</v>
      </c>
      <c r="I24" s="79">
        <v>1</v>
      </c>
      <c r="M24" s="79">
        <v>-2.46</v>
      </c>
      <c r="N24" s="79">
        <v>956.45</v>
      </c>
    </row>
    <row r="25" spans="2:14" x14ac:dyDescent="0.2">
      <c r="B25" s="79" t="s">
        <v>638</v>
      </c>
      <c r="C25" s="83">
        <v>44985</v>
      </c>
      <c r="D25" s="79" t="s">
        <v>526</v>
      </c>
      <c r="E25" s="79" t="s">
        <v>523</v>
      </c>
      <c r="F25" s="79" t="s">
        <v>524</v>
      </c>
      <c r="G25" s="79" t="s">
        <v>525</v>
      </c>
      <c r="I25" s="79">
        <v>0</v>
      </c>
      <c r="M25" s="79">
        <v>2.46</v>
      </c>
      <c r="N25" s="79">
        <v>956.45</v>
      </c>
    </row>
    <row r="26" spans="2:14" x14ac:dyDescent="0.2">
      <c r="B26" s="79" t="s">
        <v>638</v>
      </c>
      <c r="C26" s="83">
        <v>44986</v>
      </c>
      <c r="D26" s="79" t="s">
        <v>527</v>
      </c>
      <c r="E26" s="79" t="s">
        <v>539</v>
      </c>
      <c r="F26" s="79" t="s">
        <v>528</v>
      </c>
      <c r="G26" s="79" t="s">
        <v>525</v>
      </c>
      <c r="I26" s="79">
        <v>0</v>
      </c>
      <c r="M26" s="79">
        <v>312.48</v>
      </c>
      <c r="N26" s="79">
        <v>1268.93</v>
      </c>
    </row>
    <row r="27" spans="2:14" x14ac:dyDescent="0.2">
      <c r="B27" s="79" t="s">
        <v>638</v>
      </c>
      <c r="C27" s="83">
        <v>45001</v>
      </c>
      <c r="D27" s="79" t="s">
        <v>527</v>
      </c>
      <c r="E27" s="79" t="s">
        <v>539</v>
      </c>
      <c r="F27" s="79" t="s">
        <v>528</v>
      </c>
      <c r="G27" s="79" t="s">
        <v>525</v>
      </c>
      <c r="I27" s="79">
        <v>0</v>
      </c>
      <c r="M27" s="79">
        <v>329.54</v>
      </c>
      <c r="N27" s="79">
        <v>1598.47</v>
      </c>
    </row>
    <row r="28" spans="2:14" x14ac:dyDescent="0.2">
      <c r="B28" s="79" t="s">
        <v>638</v>
      </c>
      <c r="C28" s="83">
        <v>45005</v>
      </c>
      <c r="D28" s="79" t="s">
        <v>566</v>
      </c>
      <c r="E28" s="79" t="s">
        <v>537</v>
      </c>
      <c r="F28" s="79" t="s">
        <v>538</v>
      </c>
      <c r="G28" s="79" t="s">
        <v>525</v>
      </c>
      <c r="H28" s="79">
        <v>13.7</v>
      </c>
      <c r="I28" s="79">
        <v>1</v>
      </c>
      <c r="M28" s="79">
        <v>-314.63</v>
      </c>
      <c r="N28" s="79">
        <v>1598.47</v>
      </c>
    </row>
    <row r="29" spans="2:14" x14ac:dyDescent="0.2">
      <c r="B29" s="79" t="s">
        <v>638</v>
      </c>
      <c r="C29" s="83">
        <v>45005</v>
      </c>
      <c r="D29" s="79" t="s">
        <v>567</v>
      </c>
      <c r="E29" s="79" t="s">
        <v>537</v>
      </c>
      <c r="F29" s="79" t="s">
        <v>538</v>
      </c>
      <c r="G29" s="79" t="s">
        <v>525</v>
      </c>
      <c r="I29" s="79">
        <v>0</v>
      </c>
      <c r="M29" s="79">
        <v>314.63</v>
      </c>
      <c r="N29" s="79">
        <v>1913.1</v>
      </c>
    </row>
    <row r="30" spans="2:14" x14ac:dyDescent="0.2">
      <c r="B30" s="79" t="s">
        <v>638</v>
      </c>
      <c r="C30" s="83">
        <v>45009</v>
      </c>
      <c r="D30" s="79" t="s">
        <v>564</v>
      </c>
      <c r="E30" s="79" t="s">
        <v>488</v>
      </c>
      <c r="F30" s="79" t="s">
        <v>510</v>
      </c>
      <c r="G30" s="79" t="s">
        <v>525</v>
      </c>
      <c r="H30" s="79">
        <v>108.86</v>
      </c>
      <c r="I30" s="79">
        <v>1</v>
      </c>
      <c r="M30" s="79">
        <v>-598.59</v>
      </c>
      <c r="N30" s="79">
        <v>1598.47</v>
      </c>
    </row>
    <row r="31" spans="2:14" x14ac:dyDescent="0.2">
      <c r="B31" s="79" t="s">
        <v>638</v>
      </c>
      <c r="C31" s="83">
        <v>45009</v>
      </c>
      <c r="D31" s="79" t="s">
        <v>565</v>
      </c>
      <c r="E31" s="79" t="s">
        <v>488</v>
      </c>
      <c r="F31" s="79" t="s">
        <v>510</v>
      </c>
      <c r="G31" s="79" t="s">
        <v>525</v>
      </c>
      <c r="I31" s="79">
        <v>0</v>
      </c>
      <c r="M31" s="79">
        <v>598.59</v>
      </c>
      <c r="N31" s="79">
        <v>2197.06</v>
      </c>
    </row>
    <row r="32" spans="2:14" x14ac:dyDescent="0.2">
      <c r="B32" s="79" t="s">
        <v>638</v>
      </c>
      <c r="C32" s="83">
        <v>45016</v>
      </c>
      <c r="D32" s="79" t="s">
        <v>533</v>
      </c>
      <c r="E32" s="79" t="s">
        <v>496</v>
      </c>
      <c r="F32" s="79" t="s">
        <v>497</v>
      </c>
      <c r="G32" s="79" t="s">
        <v>525</v>
      </c>
      <c r="H32" s="79">
        <v>7.24</v>
      </c>
      <c r="I32" s="79">
        <v>1</v>
      </c>
      <c r="M32" s="79">
        <v>-196.67</v>
      </c>
      <c r="N32" s="79">
        <v>1603.7</v>
      </c>
    </row>
    <row r="33" spans="2:15" x14ac:dyDescent="0.2">
      <c r="B33" s="79" t="s">
        <v>638</v>
      </c>
      <c r="C33" s="83">
        <v>45016</v>
      </c>
      <c r="D33" s="79" t="s">
        <v>534</v>
      </c>
      <c r="E33" s="79" t="s">
        <v>496</v>
      </c>
      <c r="F33" s="79" t="s">
        <v>497</v>
      </c>
      <c r="G33" s="79" t="s">
        <v>525</v>
      </c>
      <c r="I33" s="79">
        <v>0</v>
      </c>
      <c r="M33" s="79">
        <v>196.67</v>
      </c>
      <c r="N33" s="79">
        <v>1800.37</v>
      </c>
    </row>
    <row r="34" spans="2:15" x14ac:dyDescent="0.2">
      <c r="B34" s="79" t="s">
        <v>638</v>
      </c>
      <c r="C34" s="83">
        <v>45016</v>
      </c>
      <c r="D34" s="79" t="s">
        <v>522</v>
      </c>
      <c r="E34" s="79" t="s">
        <v>523</v>
      </c>
      <c r="F34" s="79" t="s">
        <v>524</v>
      </c>
      <c r="G34" s="79" t="s">
        <v>525</v>
      </c>
      <c r="H34" s="79">
        <v>1</v>
      </c>
      <c r="I34" s="79">
        <v>1</v>
      </c>
      <c r="M34" s="79">
        <v>-5.23</v>
      </c>
      <c r="N34" s="79">
        <v>1603.7</v>
      </c>
    </row>
    <row r="35" spans="2:15" x14ac:dyDescent="0.2">
      <c r="B35" s="79" t="s">
        <v>638</v>
      </c>
      <c r="C35" s="83">
        <v>45016</v>
      </c>
      <c r="D35" s="79" t="s">
        <v>526</v>
      </c>
      <c r="E35" s="79" t="s">
        <v>523</v>
      </c>
      <c r="F35" s="79" t="s">
        <v>524</v>
      </c>
      <c r="G35" s="79" t="s">
        <v>525</v>
      </c>
      <c r="I35" s="79">
        <v>0</v>
      </c>
      <c r="M35" s="79">
        <v>5.23</v>
      </c>
      <c r="N35" s="79">
        <v>1603.7</v>
      </c>
    </row>
    <row r="36" spans="2:15" x14ac:dyDescent="0.2">
      <c r="B36" s="79" t="s">
        <v>638</v>
      </c>
      <c r="C36" s="83">
        <v>45019</v>
      </c>
      <c r="D36" s="79" t="s">
        <v>541</v>
      </c>
      <c r="E36" s="79" t="s">
        <v>500</v>
      </c>
      <c r="F36" s="79" t="s">
        <v>501</v>
      </c>
      <c r="G36" s="79" t="s">
        <v>525</v>
      </c>
      <c r="H36" s="79">
        <v>34.04</v>
      </c>
      <c r="I36" s="79">
        <v>1</v>
      </c>
      <c r="M36" s="79">
        <v>-1933.23</v>
      </c>
      <c r="N36" s="79">
        <v>0.01</v>
      </c>
      <c r="O36" s="83">
        <v>45020</v>
      </c>
    </row>
    <row r="37" spans="2:15" x14ac:dyDescent="0.2">
      <c r="B37" s="79" t="s">
        <v>638</v>
      </c>
      <c r="C37" s="83">
        <v>45019</v>
      </c>
      <c r="D37" s="79" t="s">
        <v>527</v>
      </c>
      <c r="E37" s="79" t="s">
        <v>539</v>
      </c>
      <c r="F37" s="79" t="s">
        <v>528</v>
      </c>
      <c r="G37" s="79" t="s">
        <v>525</v>
      </c>
      <c r="I37" s="79">
        <v>0</v>
      </c>
      <c r="M37" s="79">
        <v>329.54</v>
      </c>
      <c r="N37" s="79">
        <v>1933.24</v>
      </c>
    </row>
    <row r="38" spans="2:15" x14ac:dyDescent="0.2">
      <c r="B38" s="79" t="s">
        <v>638</v>
      </c>
      <c r="C38" s="83">
        <v>45033</v>
      </c>
      <c r="D38" s="79" t="s">
        <v>527</v>
      </c>
      <c r="E38" s="79" t="s">
        <v>539</v>
      </c>
      <c r="F38" s="79" t="s">
        <v>528</v>
      </c>
      <c r="G38" s="79" t="s">
        <v>525</v>
      </c>
      <c r="I38" s="79">
        <v>0</v>
      </c>
      <c r="M38" s="79">
        <v>329.54</v>
      </c>
      <c r="N38" s="79">
        <v>329.55</v>
      </c>
    </row>
    <row r="39" spans="2:15" x14ac:dyDescent="0.2">
      <c r="B39" s="79" t="s">
        <v>638</v>
      </c>
      <c r="C39" s="83">
        <v>45044</v>
      </c>
      <c r="D39" s="79" t="s">
        <v>533</v>
      </c>
      <c r="E39" s="79" t="s">
        <v>496</v>
      </c>
      <c r="F39" s="79" t="s">
        <v>497</v>
      </c>
      <c r="G39" s="79" t="s">
        <v>525</v>
      </c>
      <c r="H39" s="79">
        <v>7.27</v>
      </c>
      <c r="I39" s="79">
        <v>1</v>
      </c>
      <c r="M39" s="79">
        <v>-191.88</v>
      </c>
      <c r="N39" s="79">
        <v>330.67</v>
      </c>
    </row>
    <row r="40" spans="2:15" x14ac:dyDescent="0.2">
      <c r="B40" s="79" t="s">
        <v>638</v>
      </c>
      <c r="C40" s="83">
        <v>45044</v>
      </c>
      <c r="D40" s="79" t="s">
        <v>534</v>
      </c>
      <c r="E40" s="79" t="s">
        <v>496</v>
      </c>
      <c r="F40" s="79" t="s">
        <v>497</v>
      </c>
      <c r="G40" s="79" t="s">
        <v>525</v>
      </c>
      <c r="I40" s="79">
        <v>0</v>
      </c>
      <c r="M40" s="79">
        <v>191.88</v>
      </c>
      <c r="N40" s="79">
        <v>522.54999999999995</v>
      </c>
    </row>
    <row r="41" spans="2:15" x14ac:dyDescent="0.2">
      <c r="B41" s="79" t="s">
        <v>638</v>
      </c>
      <c r="C41" s="83">
        <v>45044</v>
      </c>
      <c r="D41" s="79" t="s">
        <v>522</v>
      </c>
      <c r="E41" s="79" t="s">
        <v>523</v>
      </c>
      <c r="F41" s="79" t="s">
        <v>524</v>
      </c>
      <c r="G41" s="79" t="s">
        <v>525</v>
      </c>
      <c r="H41" s="79">
        <v>1</v>
      </c>
      <c r="I41" s="79">
        <v>1</v>
      </c>
      <c r="M41" s="79">
        <v>-1.1200000000000001</v>
      </c>
      <c r="N41" s="79">
        <v>330.67</v>
      </c>
    </row>
    <row r="42" spans="2:15" x14ac:dyDescent="0.2">
      <c r="B42" s="79" t="s">
        <v>638</v>
      </c>
      <c r="C42" s="83">
        <v>45044</v>
      </c>
      <c r="D42" s="79" t="s">
        <v>526</v>
      </c>
      <c r="E42" s="79" t="s">
        <v>523</v>
      </c>
      <c r="F42" s="79" t="s">
        <v>524</v>
      </c>
      <c r="G42" s="79" t="s">
        <v>525</v>
      </c>
      <c r="I42" s="79">
        <v>0</v>
      </c>
      <c r="M42" s="79">
        <v>1.1200000000000001</v>
      </c>
      <c r="N42" s="79">
        <v>330.67</v>
      </c>
    </row>
    <row r="43" spans="2:15" x14ac:dyDescent="0.2">
      <c r="B43" s="79" t="s">
        <v>638</v>
      </c>
      <c r="C43" s="83">
        <v>45047</v>
      </c>
      <c r="D43" s="79" t="s">
        <v>527</v>
      </c>
      <c r="E43" s="79" t="s">
        <v>539</v>
      </c>
      <c r="F43" s="79" t="s">
        <v>528</v>
      </c>
      <c r="G43" s="79" t="s">
        <v>525</v>
      </c>
      <c r="I43" s="79">
        <v>0</v>
      </c>
      <c r="M43" s="79">
        <v>329.54</v>
      </c>
      <c r="N43" s="79">
        <v>660.21</v>
      </c>
    </row>
    <row r="44" spans="2:15" x14ac:dyDescent="0.2">
      <c r="B44" s="79" t="s">
        <v>638</v>
      </c>
      <c r="C44" s="83">
        <v>45049</v>
      </c>
      <c r="D44" s="79" t="s">
        <v>563</v>
      </c>
      <c r="E44" s="79" t="s">
        <v>543</v>
      </c>
      <c r="F44" s="79" t="s">
        <v>544</v>
      </c>
      <c r="G44" s="79" t="s">
        <v>525</v>
      </c>
      <c r="H44" s="79">
        <v>7.45</v>
      </c>
      <c r="I44" s="79">
        <v>1</v>
      </c>
      <c r="M44" s="79">
        <v>-660</v>
      </c>
      <c r="N44" s="79">
        <v>0.21</v>
      </c>
      <c r="O44" s="83">
        <v>45050</v>
      </c>
    </row>
    <row r="45" spans="2:15" x14ac:dyDescent="0.2">
      <c r="B45" s="79" t="s">
        <v>638</v>
      </c>
      <c r="C45" s="83">
        <v>45062</v>
      </c>
      <c r="D45" s="79" t="s">
        <v>527</v>
      </c>
      <c r="E45" s="79" t="s">
        <v>539</v>
      </c>
      <c r="F45" s="79" t="s">
        <v>528</v>
      </c>
      <c r="G45" s="79" t="s">
        <v>525</v>
      </c>
      <c r="I45" s="79">
        <v>0</v>
      </c>
      <c r="M45" s="79">
        <v>329.54</v>
      </c>
      <c r="N45" s="79">
        <v>329.75</v>
      </c>
    </row>
    <row r="46" spans="2:15" x14ac:dyDescent="0.2">
      <c r="B46" s="79" t="s">
        <v>638</v>
      </c>
      <c r="C46" s="83">
        <v>45077</v>
      </c>
      <c r="D46" s="79" t="s">
        <v>533</v>
      </c>
      <c r="E46" s="79" t="s">
        <v>496</v>
      </c>
      <c r="F46" s="79" t="s">
        <v>497</v>
      </c>
      <c r="G46" s="79" t="s">
        <v>525</v>
      </c>
      <c r="H46" s="79">
        <v>7.17</v>
      </c>
      <c r="I46" s="79">
        <v>1</v>
      </c>
      <c r="M46" s="79">
        <v>-200.36</v>
      </c>
      <c r="N46" s="79">
        <v>330.6</v>
      </c>
    </row>
    <row r="47" spans="2:15" x14ac:dyDescent="0.2">
      <c r="B47" s="79" t="s">
        <v>638</v>
      </c>
      <c r="C47" s="83">
        <v>45077</v>
      </c>
      <c r="D47" s="79" t="s">
        <v>534</v>
      </c>
      <c r="E47" s="79" t="s">
        <v>496</v>
      </c>
      <c r="F47" s="79" t="s">
        <v>497</v>
      </c>
      <c r="G47" s="79" t="s">
        <v>525</v>
      </c>
      <c r="I47" s="79">
        <v>0</v>
      </c>
      <c r="M47" s="79">
        <v>200.36</v>
      </c>
      <c r="N47" s="79">
        <v>530.96</v>
      </c>
    </row>
    <row r="48" spans="2:15" x14ac:dyDescent="0.2">
      <c r="B48" s="79" t="s">
        <v>638</v>
      </c>
      <c r="C48" s="83">
        <v>45077</v>
      </c>
      <c r="D48" s="79" t="s">
        <v>522</v>
      </c>
      <c r="E48" s="79" t="s">
        <v>523</v>
      </c>
      <c r="F48" s="79" t="s">
        <v>524</v>
      </c>
      <c r="G48" s="79" t="s">
        <v>525</v>
      </c>
      <c r="H48" s="79">
        <v>1</v>
      </c>
      <c r="I48" s="79">
        <v>1</v>
      </c>
      <c r="M48" s="79">
        <v>-0.85</v>
      </c>
      <c r="N48" s="79">
        <v>330.6</v>
      </c>
    </row>
    <row r="49" spans="2:15" x14ac:dyDescent="0.2">
      <c r="B49" s="79" t="s">
        <v>638</v>
      </c>
      <c r="C49" s="83">
        <v>45077</v>
      </c>
      <c r="D49" s="79" t="s">
        <v>526</v>
      </c>
      <c r="E49" s="79" t="s">
        <v>523</v>
      </c>
      <c r="F49" s="79" t="s">
        <v>524</v>
      </c>
      <c r="G49" s="79" t="s">
        <v>525</v>
      </c>
      <c r="I49" s="79">
        <v>0</v>
      </c>
      <c r="M49" s="79">
        <v>0.85</v>
      </c>
      <c r="N49" s="79">
        <v>330.6</v>
      </c>
    </row>
    <row r="50" spans="2:15" x14ac:dyDescent="0.2">
      <c r="B50" s="79" t="s">
        <v>638</v>
      </c>
      <c r="C50" s="83">
        <v>45078</v>
      </c>
      <c r="D50" s="79" t="s">
        <v>527</v>
      </c>
      <c r="E50" s="79" t="s">
        <v>539</v>
      </c>
      <c r="F50" s="79" t="s">
        <v>528</v>
      </c>
      <c r="G50" s="79" t="s">
        <v>525</v>
      </c>
      <c r="I50" s="79">
        <v>0</v>
      </c>
      <c r="M50" s="79">
        <v>329.54</v>
      </c>
      <c r="N50" s="79">
        <v>660.14</v>
      </c>
    </row>
    <row r="51" spans="2:15" x14ac:dyDescent="0.2">
      <c r="B51" s="79" t="s">
        <v>638</v>
      </c>
      <c r="C51" s="83">
        <v>45093</v>
      </c>
      <c r="D51" s="79" t="s">
        <v>527</v>
      </c>
      <c r="E51" s="79" t="s">
        <v>539</v>
      </c>
      <c r="F51" s="79" t="s">
        <v>528</v>
      </c>
      <c r="G51" s="79" t="s">
        <v>525</v>
      </c>
      <c r="I51" s="79">
        <v>0</v>
      </c>
      <c r="M51" s="79">
        <v>329.54</v>
      </c>
      <c r="N51" s="79">
        <v>989.68</v>
      </c>
    </row>
    <row r="52" spans="2:15" x14ac:dyDescent="0.2">
      <c r="B52" s="79" t="s">
        <v>638</v>
      </c>
      <c r="C52" s="83">
        <v>45097</v>
      </c>
      <c r="D52" s="79" t="s">
        <v>561</v>
      </c>
      <c r="E52" s="79" t="s">
        <v>537</v>
      </c>
      <c r="F52" s="79" t="s">
        <v>538</v>
      </c>
      <c r="G52" s="79" t="s">
        <v>525</v>
      </c>
      <c r="H52" s="79">
        <v>15.03</v>
      </c>
      <c r="I52" s="79">
        <v>1</v>
      </c>
      <c r="M52" s="79">
        <v>-861.88</v>
      </c>
      <c r="N52" s="79">
        <v>989.68</v>
      </c>
    </row>
    <row r="53" spans="2:15" x14ac:dyDescent="0.2">
      <c r="B53" s="79" t="s">
        <v>638</v>
      </c>
      <c r="C53" s="83">
        <v>45097</v>
      </c>
      <c r="D53" s="79" t="s">
        <v>562</v>
      </c>
      <c r="E53" s="79" t="s">
        <v>537</v>
      </c>
      <c r="F53" s="79" t="s">
        <v>538</v>
      </c>
      <c r="G53" s="79" t="s">
        <v>525</v>
      </c>
      <c r="I53" s="79">
        <v>0</v>
      </c>
      <c r="M53" s="79">
        <v>861.88</v>
      </c>
      <c r="N53" s="79">
        <v>1851.56</v>
      </c>
    </row>
    <row r="54" spans="2:15" x14ac:dyDescent="0.2">
      <c r="B54" s="79" t="s">
        <v>638</v>
      </c>
      <c r="C54" s="83">
        <v>45106</v>
      </c>
      <c r="D54" s="79" t="s">
        <v>559</v>
      </c>
      <c r="E54" s="79" t="s">
        <v>488</v>
      </c>
      <c r="F54" s="79" t="s">
        <v>510</v>
      </c>
      <c r="G54" s="79" t="s">
        <v>525</v>
      </c>
      <c r="H54" s="79">
        <v>116.48</v>
      </c>
      <c r="I54" s="79">
        <v>1</v>
      </c>
      <c r="M54" s="79">
        <v>-728.27</v>
      </c>
      <c r="N54" s="79">
        <v>989.68</v>
      </c>
    </row>
    <row r="55" spans="2:15" x14ac:dyDescent="0.2">
      <c r="B55" s="79" t="s">
        <v>638</v>
      </c>
      <c r="C55" s="83">
        <v>45106</v>
      </c>
      <c r="D55" s="79" t="s">
        <v>560</v>
      </c>
      <c r="E55" s="79" t="s">
        <v>488</v>
      </c>
      <c r="F55" s="79" t="s">
        <v>510</v>
      </c>
      <c r="G55" s="79" t="s">
        <v>525</v>
      </c>
      <c r="I55" s="79">
        <v>0</v>
      </c>
      <c r="M55" s="79">
        <v>728.27</v>
      </c>
      <c r="N55" s="79">
        <v>1717.95</v>
      </c>
    </row>
    <row r="56" spans="2:15" x14ac:dyDescent="0.2">
      <c r="B56" s="79" t="s">
        <v>638</v>
      </c>
      <c r="C56" s="83">
        <v>45107</v>
      </c>
      <c r="D56" s="79" t="s">
        <v>533</v>
      </c>
      <c r="E56" s="79" t="s">
        <v>496</v>
      </c>
      <c r="F56" s="79" t="s">
        <v>497</v>
      </c>
      <c r="G56" s="79" t="s">
        <v>525</v>
      </c>
      <c r="H56" s="79">
        <v>7.14</v>
      </c>
      <c r="I56" s="79">
        <v>1</v>
      </c>
      <c r="M56" s="79">
        <v>-194.06</v>
      </c>
      <c r="N56" s="79">
        <v>992.69</v>
      </c>
    </row>
    <row r="57" spans="2:15" x14ac:dyDescent="0.2">
      <c r="B57" s="79" t="s">
        <v>638</v>
      </c>
      <c r="C57" s="83">
        <v>45107</v>
      </c>
      <c r="D57" s="79" t="s">
        <v>534</v>
      </c>
      <c r="E57" s="79" t="s">
        <v>496</v>
      </c>
      <c r="F57" s="79" t="s">
        <v>497</v>
      </c>
      <c r="G57" s="79" t="s">
        <v>525</v>
      </c>
      <c r="I57" s="79">
        <v>0</v>
      </c>
      <c r="M57" s="79">
        <v>194.06</v>
      </c>
      <c r="N57" s="79">
        <v>1186.75</v>
      </c>
    </row>
    <row r="58" spans="2:15" x14ac:dyDescent="0.2">
      <c r="B58" s="79" t="s">
        <v>638</v>
      </c>
      <c r="C58" s="83">
        <v>45107</v>
      </c>
      <c r="D58" s="79" t="s">
        <v>522</v>
      </c>
      <c r="E58" s="79" t="s">
        <v>523</v>
      </c>
      <c r="F58" s="79" t="s">
        <v>524</v>
      </c>
      <c r="G58" s="79" t="s">
        <v>525</v>
      </c>
      <c r="H58" s="79">
        <v>1</v>
      </c>
      <c r="I58" s="79">
        <v>1</v>
      </c>
      <c r="M58" s="79">
        <v>-3.01</v>
      </c>
      <c r="N58" s="79">
        <v>992.69</v>
      </c>
    </row>
    <row r="59" spans="2:15" x14ac:dyDescent="0.2">
      <c r="B59" s="79" t="s">
        <v>638</v>
      </c>
      <c r="C59" s="83">
        <v>45107</v>
      </c>
      <c r="D59" s="79" t="s">
        <v>526</v>
      </c>
      <c r="E59" s="79" t="s">
        <v>523</v>
      </c>
      <c r="F59" s="79" t="s">
        <v>524</v>
      </c>
      <c r="G59" s="79" t="s">
        <v>525</v>
      </c>
      <c r="I59" s="79">
        <v>0</v>
      </c>
      <c r="M59" s="79">
        <v>3.01</v>
      </c>
      <c r="N59" s="79">
        <v>992.69</v>
      </c>
    </row>
    <row r="60" spans="2:15" x14ac:dyDescent="0.2">
      <c r="B60" s="79" t="s">
        <v>638</v>
      </c>
      <c r="C60" s="83">
        <v>45110</v>
      </c>
      <c r="D60" s="79" t="s">
        <v>527</v>
      </c>
      <c r="E60" s="79" t="s">
        <v>539</v>
      </c>
      <c r="F60" s="79" t="s">
        <v>528</v>
      </c>
      <c r="G60" s="79" t="s">
        <v>525</v>
      </c>
      <c r="I60" s="79">
        <v>0</v>
      </c>
      <c r="M60" s="79">
        <v>329.54</v>
      </c>
      <c r="N60" s="79">
        <v>1322.23</v>
      </c>
    </row>
    <row r="61" spans="2:15" x14ac:dyDescent="0.2">
      <c r="B61" s="79" t="s">
        <v>638</v>
      </c>
      <c r="C61" s="83">
        <v>45112</v>
      </c>
      <c r="D61" s="79" t="s">
        <v>558</v>
      </c>
      <c r="E61" s="79" t="s">
        <v>543</v>
      </c>
      <c r="F61" s="79" t="s">
        <v>544</v>
      </c>
      <c r="G61" s="79" t="s">
        <v>525</v>
      </c>
      <c r="H61" s="79">
        <v>9.1</v>
      </c>
      <c r="I61" s="79">
        <v>1</v>
      </c>
      <c r="M61" s="79">
        <v>-1322.23</v>
      </c>
      <c r="N61" s="79">
        <v>0</v>
      </c>
      <c r="O61" s="83">
        <v>45113</v>
      </c>
    </row>
    <row r="62" spans="2:15" x14ac:dyDescent="0.2">
      <c r="B62" s="79" t="s">
        <v>638</v>
      </c>
      <c r="C62" s="83">
        <v>45124</v>
      </c>
      <c r="D62" s="79" t="s">
        <v>527</v>
      </c>
      <c r="E62" s="79" t="s">
        <v>539</v>
      </c>
      <c r="F62" s="79" t="s">
        <v>528</v>
      </c>
      <c r="G62" s="79" t="s">
        <v>525</v>
      </c>
      <c r="I62" s="79">
        <v>0</v>
      </c>
      <c r="M62" s="79">
        <v>329.54</v>
      </c>
      <c r="N62" s="79">
        <v>329.54</v>
      </c>
    </row>
    <row r="63" spans="2:15" x14ac:dyDescent="0.2">
      <c r="B63" s="79" t="s">
        <v>638</v>
      </c>
      <c r="C63" s="83">
        <v>45138</v>
      </c>
      <c r="D63" s="79" t="s">
        <v>533</v>
      </c>
      <c r="E63" s="79" t="s">
        <v>496</v>
      </c>
      <c r="F63" s="79" t="s">
        <v>497</v>
      </c>
      <c r="G63" s="79" t="s">
        <v>525</v>
      </c>
      <c r="H63" s="79">
        <v>7.12</v>
      </c>
      <c r="I63" s="79">
        <v>1</v>
      </c>
      <c r="M63" s="79">
        <v>-204.92</v>
      </c>
      <c r="N63" s="79">
        <v>330.85</v>
      </c>
    </row>
    <row r="64" spans="2:15" x14ac:dyDescent="0.2">
      <c r="B64" s="79" t="s">
        <v>638</v>
      </c>
      <c r="C64" s="83">
        <v>45138</v>
      </c>
      <c r="D64" s="79" t="s">
        <v>534</v>
      </c>
      <c r="E64" s="79" t="s">
        <v>496</v>
      </c>
      <c r="F64" s="79" t="s">
        <v>497</v>
      </c>
      <c r="G64" s="79" t="s">
        <v>525</v>
      </c>
      <c r="I64" s="79">
        <v>0</v>
      </c>
      <c r="M64" s="79">
        <v>204.92</v>
      </c>
      <c r="N64" s="79">
        <v>535.77</v>
      </c>
    </row>
    <row r="65" spans="2:15" x14ac:dyDescent="0.2">
      <c r="B65" s="79" t="s">
        <v>638</v>
      </c>
      <c r="C65" s="83">
        <v>45138</v>
      </c>
      <c r="D65" s="79" t="s">
        <v>522</v>
      </c>
      <c r="E65" s="79" t="s">
        <v>523</v>
      </c>
      <c r="F65" s="79" t="s">
        <v>524</v>
      </c>
      <c r="G65" s="79" t="s">
        <v>525</v>
      </c>
      <c r="H65" s="79">
        <v>1</v>
      </c>
      <c r="I65" s="79">
        <v>1</v>
      </c>
      <c r="M65" s="79">
        <v>-1.31</v>
      </c>
      <c r="N65" s="79">
        <v>330.85</v>
      </c>
    </row>
    <row r="66" spans="2:15" x14ac:dyDescent="0.2">
      <c r="B66" s="79" t="s">
        <v>638</v>
      </c>
      <c r="C66" s="83">
        <v>45138</v>
      </c>
      <c r="D66" s="79" t="s">
        <v>526</v>
      </c>
      <c r="E66" s="79" t="s">
        <v>523</v>
      </c>
      <c r="F66" s="79" t="s">
        <v>524</v>
      </c>
      <c r="G66" s="79" t="s">
        <v>525</v>
      </c>
      <c r="I66" s="79">
        <v>0</v>
      </c>
      <c r="M66" s="79">
        <v>1.31</v>
      </c>
      <c r="N66" s="79">
        <v>330.85</v>
      </c>
    </row>
    <row r="67" spans="2:15" x14ac:dyDescent="0.2">
      <c r="B67" s="79" t="s">
        <v>638</v>
      </c>
      <c r="C67" s="83">
        <v>45139</v>
      </c>
      <c r="D67" s="79" t="s">
        <v>527</v>
      </c>
      <c r="E67" s="79" t="s">
        <v>539</v>
      </c>
      <c r="F67" s="79" t="s">
        <v>528</v>
      </c>
      <c r="G67" s="79" t="s">
        <v>525</v>
      </c>
      <c r="I67" s="79">
        <v>0</v>
      </c>
      <c r="M67" s="79">
        <v>329.54</v>
      </c>
      <c r="N67" s="79">
        <v>660.39</v>
      </c>
    </row>
    <row r="68" spans="2:15" x14ac:dyDescent="0.2">
      <c r="B68" s="79" t="s">
        <v>638</v>
      </c>
      <c r="C68" s="83">
        <v>45148</v>
      </c>
      <c r="D68" s="79" t="s">
        <v>540</v>
      </c>
      <c r="E68" s="79" t="s">
        <v>506</v>
      </c>
      <c r="F68" s="79" t="s">
        <v>507</v>
      </c>
      <c r="G68" s="79" t="s">
        <v>525</v>
      </c>
      <c r="H68" s="79">
        <v>46.14</v>
      </c>
      <c r="I68" s="79">
        <v>1</v>
      </c>
      <c r="M68" s="79">
        <v>-660</v>
      </c>
      <c r="N68" s="79">
        <v>0.39</v>
      </c>
      <c r="O68" s="83">
        <v>45149</v>
      </c>
    </row>
    <row r="69" spans="2:15" x14ac:dyDescent="0.2">
      <c r="B69" s="79" t="s">
        <v>638</v>
      </c>
      <c r="C69" s="83">
        <v>45154</v>
      </c>
      <c r="D69" s="79" t="s">
        <v>527</v>
      </c>
      <c r="E69" s="79" t="s">
        <v>539</v>
      </c>
      <c r="F69" s="79" t="s">
        <v>528</v>
      </c>
      <c r="G69" s="79" t="s">
        <v>525</v>
      </c>
      <c r="I69" s="79">
        <v>0</v>
      </c>
      <c r="M69" s="79">
        <v>329.54</v>
      </c>
      <c r="N69" s="79">
        <v>329.93</v>
      </c>
    </row>
    <row r="70" spans="2:15" x14ac:dyDescent="0.2">
      <c r="B70" s="79" t="s">
        <v>638</v>
      </c>
      <c r="C70" s="83">
        <v>45169</v>
      </c>
      <c r="D70" s="79" t="s">
        <v>533</v>
      </c>
      <c r="E70" s="79" t="s">
        <v>496</v>
      </c>
      <c r="F70" s="79" t="s">
        <v>497</v>
      </c>
      <c r="G70" s="79" t="s">
        <v>525</v>
      </c>
      <c r="H70" s="79">
        <v>7.05</v>
      </c>
      <c r="I70" s="79">
        <v>1</v>
      </c>
      <c r="M70" s="79">
        <v>-211.29</v>
      </c>
      <c r="N70" s="79">
        <v>331.46</v>
      </c>
    </row>
    <row r="71" spans="2:15" x14ac:dyDescent="0.2">
      <c r="B71" s="79" t="s">
        <v>638</v>
      </c>
      <c r="C71" s="83">
        <v>45169</v>
      </c>
      <c r="D71" s="79" t="s">
        <v>534</v>
      </c>
      <c r="E71" s="79" t="s">
        <v>496</v>
      </c>
      <c r="F71" s="79" t="s">
        <v>497</v>
      </c>
      <c r="G71" s="79" t="s">
        <v>525</v>
      </c>
      <c r="I71" s="79">
        <v>0</v>
      </c>
      <c r="M71" s="79">
        <v>211.29</v>
      </c>
      <c r="N71" s="79">
        <v>542.75</v>
      </c>
    </row>
    <row r="72" spans="2:15" x14ac:dyDescent="0.2">
      <c r="B72" s="79" t="s">
        <v>638</v>
      </c>
      <c r="C72" s="83">
        <v>45169</v>
      </c>
      <c r="D72" s="79" t="s">
        <v>522</v>
      </c>
      <c r="E72" s="79" t="s">
        <v>523</v>
      </c>
      <c r="F72" s="79" t="s">
        <v>524</v>
      </c>
      <c r="G72" s="79" t="s">
        <v>525</v>
      </c>
      <c r="H72" s="79">
        <v>1</v>
      </c>
      <c r="I72" s="79">
        <v>1</v>
      </c>
      <c r="M72" s="79">
        <v>-1.53</v>
      </c>
      <c r="N72" s="79">
        <v>331.46</v>
      </c>
    </row>
    <row r="73" spans="2:15" x14ac:dyDescent="0.2">
      <c r="B73" s="79" t="s">
        <v>638</v>
      </c>
      <c r="C73" s="83">
        <v>45169</v>
      </c>
      <c r="D73" s="79" t="s">
        <v>526</v>
      </c>
      <c r="E73" s="79" t="s">
        <v>523</v>
      </c>
      <c r="F73" s="79" t="s">
        <v>524</v>
      </c>
      <c r="G73" s="79" t="s">
        <v>525</v>
      </c>
      <c r="I73" s="79">
        <v>0</v>
      </c>
      <c r="M73" s="79">
        <v>1.53</v>
      </c>
      <c r="N73" s="79">
        <v>331.46</v>
      </c>
    </row>
    <row r="74" spans="2:15" x14ac:dyDescent="0.2">
      <c r="B74" s="79" t="s">
        <v>638</v>
      </c>
      <c r="C74" s="83">
        <v>45170</v>
      </c>
      <c r="D74" s="79" t="s">
        <v>527</v>
      </c>
      <c r="E74" s="79" t="s">
        <v>539</v>
      </c>
      <c r="F74" s="79" t="s">
        <v>528</v>
      </c>
      <c r="G74" s="79" t="s">
        <v>525</v>
      </c>
      <c r="I74" s="79">
        <v>0</v>
      </c>
      <c r="M74" s="79">
        <v>329.54</v>
      </c>
      <c r="N74" s="79">
        <v>661</v>
      </c>
    </row>
    <row r="75" spans="2:15" x14ac:dyDescent="0.2">
      <c r="B75" s="79" t="s">
        <v>638</v>
      </c>
      <c r="C75" s="83">
        <v>45187</v>
      </c>
      <c r="D75" s="79" t="s">
        <v>556</v>
      </c>
      <c r="E75" s="79" t="s">
        <v>537</v>
      </c>
      <c r="F75" s="79" t="s">
        <v>538</v>
      </c>
      <c r="G75" s="79" t="s">
        <v>525</v>
      </c>
      <c r="H75" s="79">
        <v>14.59</v>
      </c>
      <c r="I75" s="79">
        <v>1</v>
      </c>
      <c r="M75" s="79">
        <v>-622.9</v>
      </c>
      <c r="N75" s="79">
        <v>990.54</v>
      </c>
    </row>
    <row r="76" spans="2:15" x14ac:dyDescent="0.2">
      <c r="B76" s="79" t="s">
        <v>638</v>
      </c>
      <c r="C76" s="83">
        <v>45187</v>
      </c>
      <c r="D76" s="79" t="s">
        <v>557</v>
      </c>
      <c r="E76" s="79" t="s">
        <v>537</v>
      </c>
      <c r="F76" s="79" t="s">
        <v>538</v>
      </c>
      <c r="G76" s="79" t="s">
        <v>525</v>
      </c>
      <c r="I76" s="79">
        <v>0</v>
      </c>
      <c r="M76" s="79">
        <v>622.9</v>
      </c>
      <c r="N76" s="79">
        <v>1613.44</v>
      </c>
    </row>
    <row r="77" spans="2:15" x14ac:dyDescent="0.2">
      <c r="B77" s="79" t="s">
        <v>638</v>
      </c>
      <c r="C77" s="83">
        <v>45187</v>
      </c>
      <c r="D77" s="79" t="s">
        <v>527</v>
      </c>
      <c r="E77" s="79" t="s">
        <v>539</v>
      </c>
      <c r="F77" s="79" t="s">
        <v>528</v>
      </c>
      <c r="G77" s="79" t="s">
        <v>525</v>
      </c>
      <c r="I77" s="79">
        <v>0</v>
      </c>
      <c r="M77" s="79">
        <v>329.54</v>
      </c>
      <c r="N77" s="79">
        <v>990.54</v>
      </c>
    </row>
    <row r="78" spans="2:15" x14ac:dyDescent="0.2">
      <c r="B78" s="79" t="s">
        <v>638</v>
      </c>
      <c r="C78" s="83">
        <v>45197</v>
      </c>
      <c r="D78" s="79" t="s">
        <v>554</v>
      </c>
      <c r="E78" s="79" t="s">
        <v>488</v>
      </c>
      <c r="F78" s="79" t="s">
        <v>510</v>
      </c>
      <c r="G78" s="79" t="s">
        <v>525</v>
      </c>
      <c r="H78" s="79">
        <v>105.85</v>
      </c>
      <c r="I78" s="79">
        <v>1</v>
      </c>
      <c r="M78" s="79">
        <v>-576.86</v>
      </c>
      <c r="N78" s="79">
        <v>990.54</v>
      </c>
    </row>
    <row r="79" spans="2:15" x14ac:dyDescent="0.2">
      <c r="B79" s="79" t="s">
        <v>638</v>
      </c>
      <c r="C79" s="83">
        <v>45197</v>
      </c>
      <c r="D79" s="79" t="s">
        <v>555</v>
      </c>
      <c r="E79" s="79" t="s">
        <v>488</v>
      </c>
      <c r="F79" s="79" t="s">
        <v>510</v>
      </c>
      <c r="G79" s="79" t="s">
        <v>525</v>
      </c>
      <c r="I79" s="79">
        <v>0</v>
      </c>
      <c r="M79" s="79">
        <v>576.86</v>
      </c>
      <c r="N79" s="79">
        <v>1567.4</v>
      </c>
    </row>
    <row r="80" spans="2:15" x14ac:dyDescent="0.2">
      <c r="B80" s="79" t="s">
        <v>638</v>
      </c>
      <c r="C80" s="83">
        <v>45198</v>
      </c>
      <c r="D80" s="79" t="s">
        <v>533</v>
      </c>
      <c r="E80" s="79" t="s">
        <v>496</v>
      </c>
      <c r="F80" s="79" t="s">
        <v>497</v>
      </c>
      <c r="G80" s="79" t="s">
        <v>525</v>
      </c>
      <c r="H80" s="79">
        <v>6.85</v>
      </c>
      <c r="I80" s="79">
        <v>1</v>
      </c>
      <c r="M80" s="79">
        <v>-204.35</v>
      </c>
      <c r="N80" s="79">
        <v>993.6</v>
      </c>
    </row>
    <row r="81" spans="2:14" x14ac:dyDescent="0.2">
      <c r="B81" s="79" t="s">
        <v>638</v>
      </c>
      <c r="C81" s="83">
        <v>45198</v>
      </c>
      <c r="D81" s="79" t="s">
        <v>534</v>
      </c>
      <c r="E81" s="79" t="s">
        <v>496</v>
      </c>
      <c r="F81" s="79" t="s">
        <v>497</v>
      </c>
      <c r="G81" s="79" t="s">
        <v>525</v>
      </c>
      <c r="I81" s="79">
        <v>0</v>
      </c>
      <c r="M81" s="79">
        <v>204.35</v>
      </c>
      <c r="N81" s="79">
        <v>1197.95</v>
      </c>
    </row>
    <row r="82" spans="2:14" x14ac:dyDescent="0.2">
      <c r="B82" s="79" t="s">
        <v>638</v>
      </c>
      <c r="C82" s="83">
        <v>45198</v>
      </c>
      <c r="D82" s="79" t="s">
        <v>522</v>
      </c>
      <c r="E82" s="79" t="s">
        <v>523</v>
      </c>
      <c r="F82" s="79" t="s">
        <v>524</v>
      </c>
      <c r="G82" s="79" t="s">
        <v>525</v>
      </c>
      <c r="H82" s="79">
        <v>1</v>
      </c>
      <c r="I82" s="79">
        <v>1</v>
      </c>
      <c r="M82" s="79">
        <v>-3.06</v>
      </c>
      <c r="N82" s="79">
        <v>993.6</v>
      </c>
    </row>
    <row r="83" spans="2:14" x14ac:dyDescent="0.2">
      <c r="B83" s="79" t="s">
        <v>638</v>
      </c>
      <c r="C83" s="83">
        <v>45198</v>
      </c>
      <c r="D83" s="79" t="s">
        <v>526</v>
      </c>
      <c r="E83" s="79" t="s">
        <v>523</v>
      </c>
      <c r="F83" s="79" t="s">
        <v>524</v>
      </c>
      <c r="G83" s="79" t="s">
        <v>525</v>
      </c>
      <c r="I83" s="79">
        <v>0</v>
      </c>
      <c r="M83" s="79">
        <v>3.06</v>
      </c>
      <c r="N83" s="79">
        <v>993.6</v>
      </c>
    </row>
    <row r="84" spans="2:14" x14ac:dyDescent="0.2">
      <c r="B84" s="79" t="s">
        <v>638</v>
      </c>
      <c r="C84" s="83">
        <v>45201</v>
      </c>
      <c r="D84" s="79" t="s">
        <v>527</v>
      </c>
      <c r="E84" s="79" t="s">
        <v>539</v>
      </c>
      <c r="F84" s="79" t="s">
        <v>528</v>
      </c>
      <c r="G84" s="79" t="s">
        <v>525</v>
      </c>
      <c r="I84" s="79">
        <v>0</v>
      </c>
      <c r="M84" s="79">
        <v>329.54</v>
      </c>
      <c r="N84" s="79">
        <v>1323.14</v>
      </c>
    </row>
    <row r="85" spans="2:14" x14ac:dyDescent="0.2">
      <c r="B85" s="79" t="s">
        <v>638</v>
      </c>
      <c r="C85" s="83">
        <v>45215</v>
      </c>
      <c r="D85" s="79" t="s">
        <v>527</v>
      </c>
      <c r="E85" s="79" t="s">
        <v>539</v>
      </c>
      <c r="F85" s="79" t="s">
        <v>528</v>
      </c>
      <c r="G85" s="79" t="s">
        <v>525</v>
      </c>
      <c r="I85" s="79">
        <v>0</v>
      </c>
      <c r="M85" s="79">
        <v>329.54</v>
      </c>
      <c r="N85" s="79">
        <v>1652.68</v>
      </c>
    </row>
    <row r="86" spans="2:14" x14ac:dyDescent="0.2">
      <c r="B86" s="79" t="s">
        <v>638</v>
      </c>
      <c r="C86" s="83">
        <v>45230</v>
      </c>
      <c r="D86" s="79" t="s">
        <v>533</v>
      </c>
      <c r="E86" s="79" t="s">
        <v>496</v>
      </c>
      <c r="F86" s="79" t="s">
        <v>497</v>
      </c>
      <c r="G86" s="79" t="s">
        <v>525</v>
      </c>
      <c r="H86" s="79">
        <v>6.71</v>
      </c>
      <c r="I86" s="79">
        <v>1</v>
      </c>
      <c r="M86" s="79">
        <v>-215.4</v>
      </c>
      <c r="N86" s="79">
        <v>1658.9</v>
      </c>
    </row>
    <row r="87" spans="2:14" x14ac:dyDescent="0.2">
      <c r="B87" s="79" t="s">
        <v>638</v>
      </c>
      <c r="C87" s="83">
        <v>45230</v>
      </c>
      <c r="D87" s="79" t="s">
        <v>534</v>
      </c>
      <c r="E87" s="79" t="s">
        <v>496</v>
      </c>
      <c r="F87" s="79" t="s">
        <v>497</v>
      </c>
      <c r="G87" s="79" t="s">
        <v>525</v>
      </c>
      <c r="I87" s="79">
        <v>0</v>
      </c>
      <c r="M87" s="79">
        <v>215.4</v>
      </c>
      <c r="N87" s="79">
        <v>1874.3</v>
      </c>
    </row>
    <row r="88" spans="2:14" x14ac:dyDescent="0.2">
      <c r="B88" s="79" t="s">
        <v>638</v>
      </c>
      <c r="C88" s="83">
        <v>45230</v>
      </c>
      <c r="D88" s="79" t="s">
        <v>522</v>
      </c>
      <c r="E88" s="79" t="s">
        <v>523</v>
      </c>
      <c r="F88" s="79" t="s">
        <v>524</v>
      </c>
      <c r="G88" s="79" t="s">
        <v>525</v>
      </c>
      <c r="H88" s="79">
        <v>1</v>
      </c>
      <c r="I88" s="79">
        <v>1</v>
      </c>
      <c r="M88" s="79">
        <v>-6.22</v>
      </c>
      <c r="N88" s="79">
        <v>1658.9</v>
      </c>
    </row>
    <row r="89" spans="2:14" x14ac:dyDescent="0.2">
      <c r="B89" s="79" t="s">
        <v>638</v>
      </c>
      <c r="C89" s="83">
        <v>45230</v>
      </c>
      <c r="D89" s="79" t="s">
        <v>526</v>
      </c>
      <c r="E89" s="79" t="s">
        <v>523</v>
      </c>
      <c r="F89" s="79" t="s">
        <v>524</v>
      </c>
      <c r="G89" s="79" t="s">
        <v>525</v>
      </c>
      <c r="I89" s="79">
        <v>0</v>
      </c>
      <c r="M89" s="79">
        <v>6.22</v>
      </c>
      <c r="N89" s="79">
        <v>1658.9</v>
      </c>
    </row>
    <row r="90" spans="2:14" x14ac:dyDescent="0.2">
      <c r="B90" s="79" t="s">
        <v>638</v>
      </c>
      <c r="C90" s="83">
        <v>45231</v>
      </c>
      <c r="D90" s="79" t="s">
        <v>527</v>
      </c>
      <c r="E90" s="79" t="s">
        <v>539</v>
      </c>
      <c r="F90" s="79" t="s">
        <v>528</v>
      </c>
      <c r="G90" s="79" t="s">
        <v>525</v>
      </c>
      <c r="I90" s="79">
        <v>0</v>
      </c>
      <c r="M90" s="79">
        <v>329.54</v>
      </c>
      <c r="N90" s="79">
        <v>1988.44</v>
      </c>
    </row>
    <row r="91" spans="2:14" x14ac:dyDescent="0.2">
      <c r="B91" s="79" t="s">
        <v>638</v>
      </c>
      <c r="C91" s="83">
        <v>45246</v>
      </c>
      <c r="D91" s="79" t="s">
        <v>527</v>
      </c>
      <c r="E91" s="79" t="s">
        <v>539</v>
      </c>
      <c r="F91" s="79" t="s">
        <v>528</v>
      </c>
      <c r="G91" s="79" t="s">
        <v>525</v>
      </c>
      <c r="I91" s="79">
        <v>0</v>
      </c>
      <c r="M91" s="79">
        <v>329.54</v>
      </c>
      <c r="N91" s="79">
        <v>2317.98</v>
      </c>
    </row>
    <row r="92" spans="2:14" x14ac:dyDescent="0.2">
      <c r="B92" s="79" t="s">
        <v>638</v>
      </c>
      <c r="C92" s="83">
        <v>45260</v>
      </c>
      <c r="D92" s="79" t="s">
        <v>533</v>
      </c>
      <c r="E92" s="79" t="s">
        <v>496</v>
      </c>
      <c r="F92" s="79" t="s">
        <v>497</v>
      </c>
      <c r="G92" s="79" t="s">
        <v>525</v>
      </c>
      <c r="H92" s="79">
        <v>7</v>
      </c>
      <c r="I92" s="79">
        <v>1</v>
      </c>
      <c r="M92" s="79">
        <v>-220.12</v>
      </c>
      <c r="N92" s="79">
        <v>2326.73</v>
      </c>
    </row>
    <row r="93" spans="2:14" x14ac:dyDescent="0.2">
      <c r="B93" s="79" t="s">
        <v>638</v>
      </c>
      <c r="C93" s="83">
        <v>45260</v>
      </c>
      <c r="D93" s="79" t="s">
        <v>534</v>
      </c>
      <c r="E93" s="79" t="s">
        <v>496</v>
      </c>
      <c r="F93" s="79" t="s">
        <v>497</v>
      </c>
      <c r="G93" s="79" t="s">
        <v>525</v>
      </c>
      <c r="I93" s="79">
        <v>0</v>
      </c>
      <c r="M93" s="79">
        <v>220.12</v>
      </c>
      <c r="N93" s="79">
        <v>2546.85</v>
      </c>
    </row>
    <row r="94" spans="2:14" x14ac:dyDescent="0.2">
      <c r="B94" s="79" t="s">
        <v>638</v>
      </c>
      <c r="C94" s="83">
        <v>45260</v>
      </c>
      <c r="D94" s="79" t="s">
        <v>522</v>
      </c>
      <c r="E94" s="79" t="s">
        <v>523</v>
      </c>
      <c r="F94" s="79" t="s">
        <v>524</v>
      </c>
      <c r="G94" s="79" t="s">
        <v>525</v>
      </c>
      <c r="H94" s="79">
        <v>1</v>
      </c>
      <c r="I94" s="79">
        <v>1</v>
      </c>
      <c r="M94" s="79">
        <v>-8.75</v>
      </c>
      <c r="N94" s="79">
        <v>2326.73</v>
      </c>
    </row>
    <row r="95" spans="2:14" x14ac:dyDescent="0.2">
      <c r="B95" s="79" t="s">
        <v>638</v>
      </c>
      <c r="C95" s="83">
        <v>45260</v>
      </c>
      <c r="D95" s="79" t="s">
        <v>526</v>
      </c>
      <c r="E95" s="79" t="s">
        <v>523</v>
      </c>
      <c r="F95" s="79" t="s">
        <v>524</v>
      </c>
      <c r="G95" s="79" t="s">
        <v>525</v>
      </c>
      <c r="I95" s="79">
        <v>0</v>
      </c>
      <c r="M95" s="79">
        <v>8.75</v>
      </c>
      <c r="N95" s="79">
        <v>2326.73</v>
      </c>
    </row>
    <row r="96" spans="2:14" x14ac:dyDescent="0.2">
      <c r="B96" s="79" t="s">
        <v>638</v>
      </c>
      <c r="C96" s="83">
        <v>45261</v>
      </c>
      <c r="D96" s="79" t="s">
        <v>527</v>
      </c>
      <c r="E96" s="79" t="s">
        <v>539</v>
      </c>
      <c r="F96" s="79" t="s">
        <v>528</v>
      </c>
      <c r="G96" s="79" t="s">
        <v>525</v>
      </c>
      <c r="I96" s="79">
        <v>0</v>
      </c>
      <c r="M96" s="79">
        <v>329.54</v>
      </c>
      <c r="N96" s="79">
        <v>2656.27</v>
      </c>
    </row>
    <row r="97" spans="2:15" x14ac:dyDescent="0.2">
      <c r="B97" s="79" t="s">
        <v>638</v>
      </c>
      <c r="C97" s="83">
        <v>45264</v>
      </c>
      <c r="D97" s="79" t="s">
        <v>553</v>
      </c>
      <c r="E97" s="79" t="s">
        <v>530</v>
      </c>
      <c r="F97" s="79" t="s">
        <v>531</v>
      </c>
      <c r="G97" s="79" t="s">
        <v>525</v>
      </c>
      <c r="H97" s="79">
        <v>48.12</v>
      </c>
      <c r="I97" s="79">
        <v>1</v>
      </c>
      <c r="M97" s="79">
        <v>-2656.27</v>
      </c>
      <c r="N97" s="79">
        <v>0</v>
      </c>
      <c r="O97" s="83">
        <v>45266</v>
      </c>
    </row>
    <row r="98" spans="2:15" x14ac:dyDescent="0.2">
      <c r="B98" s="79" t="s">
        <v>638</v>
      </c>
      <c r="C98" s="83">
        <v>45268</v>
      </c>
      <c r="D98" s="79" t="s">
        <v>551</v>
      </c>
      <c r="E98" s="79" t="s">
        <v>506</v>
      </c>
      <c r="F98" s="79" t="s">
        <v>507</v>
      </c>
      <c r="G98" s="79" t="s">
        <v>525</v>
      </c>
      <c r="H98" s="79">
        <v>49.48</v>
      </c>
      <c r="I98" s="79">
        <v>1</v>
      </c>
      <c r="M98" s="79">
        <v>-3535.65</v>
      </c>
      <c r="N98" s="79">
        <v>0</v>
      </c>
    </row>
    <row r="99" spans="2:15" x14ac:dyDescent="0.2">
      <c r="B99" s="79" t="s">
        <v>638</v>
      </c>
      <c r="C99" s="83">
        <v>45268</v>
      </c>
      <c r="D99" s="79" t="s">
        <v>535</v>
      </c>
      <c r="E99" s="79" t="s">
        <v>500</v>
      </c>
      <c r="F99" s="79" t="s">
        <v>501</v>
      </c>
      <c r="G99" s="79" t="s">
        <v>525</v>
      </c>
      <c r="H99" s="79">
        <v>34.31</v>
      </c>
      <c r="I99" s="79">
        <v>1</v>
      </c>
      <c r="M99" s="79">
        <v>-397.16</v>
      </c>
      <c r="N99" s="79">
        <v>3535.65</v>
      </c>
    </row>
    <row r="100" spans="2:15" x14ac:dyDescent="0.2">
      <c r="B100" s="79" t="s">
        <v>638</v>
      </c>
      <c r="C100" s="83">
        <v>45268</v>
      </c>
      <c r="D100" s="79" t="s">
        <v>536</v>
      </c>
      <c r="E100" s="79" t="s">
        <v>500</v>
      </c>
      <c r="F100" s="79" t="s">
        <v>501</v>
      </c>
      <c r="G100" s="79" t="s">
        <v>525</v>
      </c>
      <c r="I100" s="79">
        <v>0</v>
      </c>
      <c r="M100" s="79">
        <v>397.16</v>
      </c>
      <c r="N100" s="79">
        <v>3932.81</v>
      </c>
    </row>
    <row r="101" spans="2:15" x14ac:dyDescent="0.2">
      <c r="B101" s="79" t="s">
        <v>638</v>
      </c>
      <c r="C101" s="83">
        <v>45268</v>
      </c>
      <c r="D101" s="79" t="s">
        <v>552</v>
      </c>
      <c r="E101" s="79" t="s">
        <v>506</v>
      </c>
      <c r="F101" s="79" t="s">
        <v>507</v>
      </c>
      <c r="G101" s="79" t="s">
        <v>525</v>
      </c>
      <c r="I101" s="79">
        <v>0</v>
      </c>
      <c r="M101" s="79">
        <v>3535.65</v>
      </c>
      <c r="N101" s="79">
        <v>3535.65</v>
      </c>
    </row>
    <row r="102" spans="2:15" x14ac:dyDescent="0.2">
      <c r="B102" s="79" t="s">
        <v>638</v>
      </c>
      <c r="C102" s="83">
        <v>45278</v>
      </c>
      <c r="D102" s="79" t="s">
        <v>549</v>
      </c>
      <c r="E102" s="79" t="s">
        <v>537</v>
      </c>
      <c r="F102" s="79" t="s">
        <v>538</v>
      </c>
      <c r="G102" s="79" t="s">
        <v>525</v>
      </c>
      <c r="H102" s="79">
        <v>14.97</v>
      </c>
      <c r="I102" s="79">
        <v>1</v>
      </c>
      <c r="M102" s="79">
        <v>-1239.03</v>
      </c>
      <c r="N102" s="79">
        <v>2578.4299999999998</v>
      </c>
    </row>
    <row r="103" spans="2:15" x14ac:dyDescent="0.2">
      <c r="B103" s="79" t="s">
        <v>638</v>
      </c>
      <c r="C103" s="83">
        <v>45278</v>
      </c>
      <c r="D103" s="79" t="s">
        <v>550</v>
      </c>
      <c r="E103" s="79" t="s">
        <v>537</v>
      </c>
      <c r="F103" s="79" t="s">
        <v>538</v>
      </c>
      <c r="G103" s="79" t="s">
        <v>525</v>
      </c>
      <c r="I103" s="79">
        <v>0</v>
      </c>
      <c r="M103" s="79">
        <v>1239.03</v>
      </c>
      <c r="N103" s="79">
        <v>3817.46</v>
      </c>
    </row>
    <row r="104" spans="2:15" x14ac:dyDescent="0.2">
      <c r="B104" s="79" t="s">
        <v>638</v>
      </c>
      <c r="C104" s="83">
        <v>45278</v>
      </c>
      <c r="D104" s="79" t="s">
        <v>527</v>
      </c>
      <c r="E104" s="79" t="s">
        <v>539</v>
      </c>
      <c r="F104" s="79" t="s">
        <v>528</v>
      </c>
      <c r="G104" s="79" t="s">
        <v>525</v>
      </c>
      <c r="I104" s="79">
        <v>0</v>
      </c>
      <c r="M104" s="79">
        <v>2578.4299999999998</v>
      </c>
      <c r="N104" s="79">
        <v>2578.4299999999998</v>
      </c>
    </row>
    <row r="105" spans="2:15" x14ac:dyDescent="0.2">
      <c r="B105" s="79" t="s">
        <v>638</v>
      </c>
      <c r="C105" s="83">
        <v>45281</v>
      </c>
      <c r="D105" s="79" t="s">
        <v>547</v>
      </c>
      <c r="E105" s="79" t="s">
        <v>488</v>
      </c>
      <c r="F105" s="79" t="s">
        <v>510</v>
      </c>
      <c r="G105" s="79" t="s">
        <v>525</v>
      </c>
      <c r="H105" s="79">
        <v>122.66</v>
      </c>
      <c r="I105" s="79">
        <v>1</v>
      </c>
      <c r="M105" s="79">
        <v>-856.38</v>
      </c>
      <c r="N105" s="79">
        <v>2578.4299999999998</v>
      </c>
    </row>
    <row r="106" spans="2:15" x14ac:dyDescent="0.2">
      <c r="B106" s="79" t="s">
        <v>638</v>
      </c>
      <c r="C106" s="83">
        <v>45281</v>
      </c>
      <c r="D106" s="79" t="s">
        <v>548</v>
      </c>
      <c r="E106" s="79" t="s">
        <v>488</v>
      </c>
      <c r="F106" s="79" t="s">
        <v>510</v>
      </c>
      <c r="G106" s="79" t="s">
        <v>525</v>
      </c>
      <c r="I106" s="79">
        <v>0</v>
      </c>
      <c r="M106" s="79">
        <v>856.38</v>
      </c>
      <c r="N106" s="79">
        <v>3434.81</v>
      </c>
    </row>
    <row r="107" spans="2:15" x14ac:dyDescent="0.2">
      <c r="B107" s="79" t="s">
        <v>638</v>
      </c>
      <c r="C107" s="83">
        <v>45287</v>
      </c>
      <c r="D107" s="79" t="s">
        <v>535</v>
      </c>
      <c r="E107" s="79" t="s">
        <v>500</v>
      </c>
      <c r="F107" s="79" t="s">
        <v>501</v>
      </c>
      <c r="G107" s="79" t="s">
        <v>525</v>
      </c>
      <c r="H107" s="79">
        <v>35.520000000000003</v>
      </c>
      <c r="I107" s="79">
        <v>1</v>
      </c>
      <c r="M107" s="79">
        <v>-21.36</v>
      </c>
      <c r="N107" s="79">
        <v>2578.4299999999998</v>
      </c>
    </row>
    <row r="108" spans="2:15" x14ac:dyDescent="0.2">
      <c r="B108" s="79" t="s">
        <v>638</v>
      </c>
      <c r="C108" s="83">
        <v>45287</v>
      </c>
      <c r="D108" s="79" t="s">
        <v>536</v>
      </c>
      <c r="E108" s="79" t="s">
        <v>500</v>
      </c>
      <c r="F108" s="79" t="s">
        <v>501</v>
      </c>
      <c r="G108" s="79" t="s">
        <v>525</v>
      </c>
      <c r="I108" s="79">
        <v>0</v>
      </c>
      <c r="M108" s="79">
        <v>21.36</v>
      </c>
      <c r="N108" s="79">
        <v>2599.79</v>
      </c>
    </row>
    <row r="109" spans="2:15" x14ac:dyDescent="0.2">
      <c r="B109" s="79" t="s">
        <v>638</v>
      </c>
      <c r="C109" s="83">
        <v>45289</v>
      </c>
      <c r="D109" s="79" t="s">
        <v>533</v>
      </c>
      <c r="E109" s="79" t="s">
        <v>496</v>
      </c>
      <c r="F109" s="79" t="s">
        <v>497</v>
      </c>
      <c r="G109" s="79" t="s">
        <v>525</v>
      </c>
      <c r="H109" s="79">
        <v>7.25</v>
      </c>
      <c r="I109" s="79">
        <v>1</v>
      </c>
      <c r="M109" s="79">
        <v>-226.69</v>
      </c>
      <c r="N109" s="79">
        <v>2584.73</v>
      </c>
    </row>
    <row r="110" spans="2:15" x14ac:dyDescent="0.2">
      <c r="B110" s="79" t="s">
        <v>638</v>
      </c>
      <c r="C110" s="83">
        <v>45289</v>
      </c>
      <c r="D110" s="79" t="s">
        <v>534</v>
      </c>
      <c r="E110" s="79" t="s">
        <v>496</v>
      </c>
      <c r="F110" s="79" t="s">
        <v>497</v>
      </c>
      <c r="G110" s="79" t="s">
        <v>525</v>
      </c>
      <c r="I110" s="79">
        <v>0</v>
      </c>
      <c r="M110" s="79">
        <v>226.69</v>
      </c>
      <c r="N110" s="79">
        <v>2811.42</v>
      </c>
    </row>
    <row r="111" spans="2:15" x14ac:dyDescent="0.2">
      <c r="B111" s="79" t="s">
        <v>638</v>
      </c>
      <c r="C111" s="83">
        <v>45289</v>
      </c>
      <c r="D111" s="79" t="s">
        <v>522</v>
      </c>
      <c r="E111" s="79" t="s">
        <v>523</v>
      </c>
      <c r="F111" s="79" t="s">
        <v>524</v>
      </c>
      <c r="G111" s="79" t="s">
        <v>525</v>
      </c>
      <c r="H111" s="79">
        <v>1</v>
      </c>
      <c r="I111" s="79">
        <v>1</v>
      </c>
      <c r="M111" s="79">
        <v>-6.3</v>
      </c>
      <c r="N111" s="79">
        <v>2584.73</v>
      </c>
    </row>
    <row r="112" spans="2:15" x14ac:dyDescent="0.2">
      <c r="B112" s="79" t="s">
        <v>638</v>
      </c>
      <c r="C112" s="83">
        <v>45289</v>
      </c>
      <c r="D112" s="79" t="s">
        <v>526</v>
      </c>
      <c r="E112" s="79" t="s">
        <v>523</v>
      </c>
      <c r="F112" s="79" t="s">
        <v>524</v>
      </c>
      <c r="G112" s="79" t="s">
        <v>525</v>
      </c>
      <c r="I112" s="79">
        <v>0</v>
      </c>
      <c r="M112" s="79">
        <v>6.3</v>
      </c>
      <c r="N112" s="79">
        <v>2584.73</v>
      </c>
    </row>
    <row r="113" spans="2:15" x14ac:dyDescent="0.2">
      <c r="B113" s="79" t="s">
        <v>638</v>
      </c>
      <c r="C113" s="83">
        <v>45295</v>
      </c>
      <c r="D113" s="79" t="s">
        <v>593</v>
      </c>
      <c r="E113" s="79" t="s">
        <v>530</v>
      </c>
      <c r="F113" s="79" t="s">
        <v>531</v>
      </c>
      <c r="G113" s="79" t="s">
        <v>525</v>
      </c>
      <c r="H113" s="79">
        <v>48.78</v>
      </c>
      <c r="I113" s="79">
        <v>1</v>
      </c>
      <c r="M113" s="79">
        <v>-2584</v>
      </c>
      <c r="N113" s="79">
        <v>0.73</v>
      </c>
      <c r="O113" s="83">
        <v>45299</v>
      </c>
    </row>
    <row r="114" spans="2:15" x14ac:dyDescent="0.2">
      <c r="B114" s="79" t="s">
        <v>638</v>
      </c>
      <c r="C114" s="83">
        <v>45307</v>
      </c>
      <c r="D114" s="79" t="s">
        <v>527</v>
      </c>
      <c r="E114" s="79" t="s">
        <v>539</v>
      </c>
      <c r="F114" s="79" t="s">
        <v>528</v>
      </c>
      <c r="G114" s="79" t="s">
        <v>525</v>
      </c>
      <c r="I114" s="79">
        <v>0</v>
      </c>
      <c r="M114" s="79">
        <v>329.54</v>
      </c>
      <c r="N114" s="79">
        <v>330.27</v>
      </c>
    </row>
    <row r="115" spans="2:15" x14ac:dyDescent="0.2">
      <c r="B115" s="79" t="s">
        <v>638</v>
      </c>
      <c r="C115" s="83">
        <v>45322</v>
      </c>
      <c r="D115" s="79" t="s">
        <v>533</v>
      </c>
      <c r="E115" s="79" t="s">
        <v>496</v>
      </c>
      <c r="F115" s="79" t="s">
        <v>497</v>
      </c>
      <c r="G115" s="79" t="s">
        <v>525</v>
      </c>
      <c r="H115" s="79">
        <v>7.23</v>
      </c>
      <c r="I115" s="79">
        <v>1</v>
      </c>
      <c r="M115" s="79">
        <v>-226.42</v>
      </c>
      <c r="N115" s="79">
        <v>333.43</v>
      </c>
    </row>
    <row r="116" spans="2:15" x14ac:dyDescent="0.2">
      <c r="B116" s="79" t="s">
        <v>638</v>
      </c>
      <c r="C116" s="83">
        <v>45322</v>
      </c>
      <c r="D116" s="79" t="s">
        <v>534</v>
      </c>
      <c r="E116" s="79" t="s">
        <v>496</v>
      </c>
      <c r="F116" s="79" t="s">
        <v>497</v>
      </c>
      <c r="G116" s="79" t="s">
        <v>525</v>
      </c>
      <c r="I116" s="79">
        <v>0</v>
      </c>
      <c r="M116" s="79">
        <v>226.42</v>
      </c>
      <c r="N116" s="79">
        <v>559.85</v>
      </c>
    </row>
    <row r="117" spans="2:15" x14ac:dyDescent="0.2">
      <c r="B117" s="79" t="s">
        <v>638</v>
      </c>
      <c r="C117" s="83">
        <v>45322</v>
      </c>
      <c r="D117" s="79" t="s">
        <v>522</v>
      </c>
      <c r="E117" s="79" t="s">
        <v>523</v>
      </c>
      <c r="F117" s="79" t="s">
        <v>524</v>
      </c>
      <c r="G117" s="79" t="s">
        <v>525</v>
      </c>
      <c r="H117" s="79">
        <v>1</v>
      </c>
      <c r="I117" s="79">
        <v>1</v>
      </c>
      <c r="M117" s="79">
        <v>-3.16</v>
      </c>
      <c r="N117" s="79">
        <v>333.43</v>
      </c>
    </row>
    <row r="118" spans="2:15" x14ac:dyDescent="0.2">
      <c r="B118" s="79" t="s">
        <v>638</v>
      </c>
      <c r="C118" s="83">
        <v>45322</v>
      </c>
      <c r="D118" s="79" t="s">
        <v>526</v>
      </c>
      <c r="E118" s="79" t="s">
        <v>523</v>
      </c>
      <c r="F118" s="79" t="s">
        <v>524</v>
      </c>
      <c r="G118" s="79" t="s">
        <v>525</v>
      </c>
      <c r="I118" s="79">
        <v>0</v>
      </c>
      <c r="M118" s="79">
        <v>3.16</v>
      </c>
      <c r="N118" s="79">
        <v>333.43</v>
      </c>
    </row>
    <row r="119" spans="2:15" x14ac:dyDescent="0.2">
      <c r="B119" s="79" t="s">
        <v>638</v>
      </c>
      <c r="C119" s="83">
        <v>45323</v>
      </c>
      <c r="D119" s="79" t="s">
        <v>527</v>
      </c>
      <c r="E119" s="79" t="s">
        <v>539</v>
      </c>
      <c r="F119" s="79" t="s">
        <v>528</v>
      </c>
      <c r="G119" s="79" t="s">
        <v>525</v>
      </c>
      <c r="I119" s="79">
        <v>0</v>
      </c>
      <c r="M119" s="79">
        <v>329.54</v>
      </c>
      <c r="N119" s="79">
        <v>662.97</v>
      </c>
    </row>
    <row r="120" spans="2:15" x14ac:dyDescent="0.2">
      <c r="B120" s="79" t="s">
        <v>638</v>
      </c>
      <c r="C120" s="83">
        <v>45338</v>
      </c>
      <c r="D120" s="79" t="s">
        <v>527</v>
      </c>
      <c r="E120" s="79" t="s">
        <v>539</v>
      </c>
      <c r="F120" s="79" t="s">
        <v>528</v>
      </c>
      <c r="G120" s="79" t="s">
        <v>525</v>
      </c>
      <c r="I120" s="79">
        <v>0</v>
      </c>
      <c r="M120" s="79">
        <v>329.54</v>
      </c>
      <c r="N120" s="79">
        <v>992.51</v>
      </c>
    </row>
    <row r="121" spans="2:15" x14ac:dyDescent="0.2">
      <c r="B121" s="79" t="s">
        <v>638</v>
      </c>
      <c r="C121" s="83">
        <v>45351</v>
      </c>
      <c r="D121" s="79" t="s">
        <v>533</v>
      </c>
      <c r="E121" s="79" t="s">
        <v>496</v>
      </c>
      <c r="F121" s="79" t="s">
        <v>497</v>
      </c>
      <c r="G121" s="79" t="s">
        <v>525</v>
      </c>
      <c r="H121" s="79">
        <v>7.11</v>
      </c>
      <c r="I121" s="79">
        <v>1</v>
      </c>
      <c r="M121" s="79">
        <v>-208.39</v>
      </c>
      <c r="N121" s="79">
        <v>995.52</v>
      </c>
    </row>
    <row r="122" spans="2:15" x14ac:dyDescent="0.2">
      <c r="B122" s="79" t="s">
        <v>638</v>
      </c>
      <c r="C122" s="83">
        <v>45351</v>
      </c>
      <c r="D122" s="79" t="s">
        <v>534</v>
      </c>
      <c r="E122" s="79" t="s">
        <v>496</v>
      </c>
      <c r="F122" s="79" t="s">
        <v>497</v>
      </c>
      <c r="G122" s="79" t="s">
        <v>525</v>
      </c>
      <c r="I122" s="79">
        <v>0</v>
      </c>
      <c r="M122" s="79">
        <v>208.39</v>
      </c>
      <c r="N122" s="79">
        <v>1203.9100000000001</v>
      </c>
    </row>
    <row r="123" spans="2:15" x14ac:dyDescent="0.2">
      <c r="B123" s="79" t="s">
        <v>638</v>
      </c>
      <c r="C123" s="83">
        <v>45351</v>
      </c>
      <c r="D123" s="79" t="s">
        <v>522</v>
      </c>
      <c r="E123" s="79" t="s">
        <v>523</v>
      </c>
      <c r="F123" s="79" t="s">
        <v>524</v>
      </c>
      <c r="G123" s="79" t="s">
        <v>525</v>
      </c>
      <c r="H123" s="79">
        <v>1</v>
      </c>
      <c r="I123" s="79">
        <v>1</v>
      </c>
      <c r="M123" s="79">
        <v>-3.01</v>
      </c>
      <c r="N123" s="79">
        <v>995.52</v>
      </c>
    </row>
    <row r="124" spans="2:15" x14ac:dyDescent="0.2">
      <c r="B124" s="79" t="s">
        <v>638</v>
      </c>
      <c r="C124" s="83">
        <v>45351</v>
      </c>
      <c r="D124" s="79" t="s">
        <v>526</v>
      </c>
      <c r="E124" s="79" t="s">
        <v>523</v>
      </c>
      <c r="F124" s="79" t="s">
        <v>524</v>
      </c>
      <c r="G124" s="79" t="s">
        <v>525</v>
      </c>
      <c r="I124" s="79">
        <v>0</v>
      </c>
      <c r="M124" s="79">
        <v>3.01</v>
      </c>
      <c r="N124" s="79">
        <v>995.52</v>
      </c>
    </row>
    <row r="125" spans="2:15" x14ac:dyDescent="0.2">
      <c r="B125" s="79" t="s">
        <v>638</v>
      </c>
      <c r="C125" s="83">
        <v>45352</v>
      </c>
      <c r="D125" s="79" t="s">
        <v>527</v>
      </c>
      <c r="E125" s="79" t="s">
        <v>539</v>
      </c>
      <c r="F125" s="79" t="s">
        <v>528</v>
      </c>
      <c r="G125" s="79" t="s">
        <v>525</v>
      </c>
      <c r="I125" s="79">
        <v>0</v>
      </c>
      <c r="M125" s="79">
        <v>329.54</v>
      </c>
      <c r="N125" s="79">
        <v>1325.06</v>
      </c>
    </row>
    <row r="126" spans="2:15" x14ac:dyDescent="0.2">
      <c r="B126" s="79" t="s">
        <v>638</v>
      </c>
      <c r="C126" s="83">
        <v>45369</v>
      </c>
      <c r="D126" s="79" t="s">
        <v>591</v>
      </c>
      <c r="E126" s="79" t="s">
        <v>537</v>
      </c>
      <c r="F126" s="79" t="s">
        <v>538</v>
      </c>
      <c r="G126" s="79" t="s">
        <v>525</v>
      </c>
      <c r="H126" s="79">
        <v>15.87</v>
      </c>
      <c r="I126" s="79">
        <v>1</v>
      </c>
      <c r="M126" s="79">
        <v>-586.49</v>
      </c>
      <c r="N126" s="79">
        <v>1680.07</v>
      </c>
    </row>
    <row r="127" spans="2:15" x14ac:dyDescent="0.2">
      <c r="B127" s="79" t="s">
        <v>638</v>
      </c>
      <c r="C127" s="83">
        <v>45369</v>
      </c>
      <c r="D127" s="79" t="s">
        <v>592</v>
      </c>
      <c r="E127" s="79" t="s">
        <v>537</v>
      </c>
      <c r="F127" s="79" t="s">
        <v>538</v>
      </c>
      <c r="G127" s="79" t="s">
        <v>525</v>
      </c>
      <c r="I127" s="79">
        <v>0</v>
      </c>
      <c r="M127" s="79">
        <v>586.49</v>
      </c>
      <c r="N127" s="79">
        <v>2266.56</v>
      </c>
    </row>
    <row r="128" spans="2:15" x14ac:dyDescent="0.2">
      <c r="B128" s="79" t="s">
        <v>638</v>
      </c>
      <c r="C128" s="83">
        <v>45369</v>
      </c>
      <c r="D128" s="79" t="s">
        <v>527</v>
      </c>
      <c r="E128" s="79" t="s">
        <v>539</v>
      </c>
      <c r="F128" s="79" t="s">
        <v>528</v>
      </c>
      <c r="G128" s="79" t="s">
        <v>525</v>
      </c>
      <c r="I128" s="79">
        <v>0</v>
      </c>
      <c r="M128" s="79">
        <v>355.01</v>
      </c>
      <c r="N128" s="79">
        <v>1680.07</v>
      </c>
    </row>
    <row r="129" spans="2:15" x14ac:dyDescent="0.2">
      <c r="B129" s="79" t="s">
        <v>638</v>
      </c>
      <c r="C129" s="83">
        <v>45376</v>
      </c>
      <c r="D129" s="79" t="s">
        <v>589</v>
      </c>
      <c r="E129" s="79" t="s">
        <v>488</v>
      </c>
      <c r="F129" s="79" t="s">
        <v>510</v>
      </c>
      <c r="G129" s="79" t="s">
        <v>525</v>
      </c>
      <c r="H129" s="79">
        <v>119.81</v>
      </c>
      <c r="I129" s="79">
        <v>1</v>
      </c>
      <c r="M129" s="79">
        <v>-593.9</v>
      </c>
      <c r="N129" s="79">
        <v>1680.07</v>
      </c>
    </row>
    <row r="130" spans="2:15" x14ac:dyDescent="0.2">
      <c r="B130" s="79" t="s">
        <v>638</v>
      </c>
      <c r="C130" s="83">
        <v>45376</v>
      </c>
      <c r="D130" s="79" t="s">
        <v>590</v>
      </c>
      <c r="E130" s="79" t="s">
        <v>488</v>
      </c>
      <c r="F130" s="79" t="s">
        <v>510</v>
      </c>
      <c r="G130" s="79" t="s">
        <v>525</v>
      </c>
      <c r="I130" s="79">
        <v>0</v>
      </c>
      <c r="M130" s="79">
        <v>593.9</v>
      </c>
      <c r="N130" s="79">
        <v>2273.9699999999998</v>
      </c>
    </row>
    <row r="131" spans="2:15" x14ac:dyDescent="0.2">
      <c r="B131" s="79" t="s">
        <v>638</v>
      </c>
      <c r="C131" s="83">
        <v>45379</v>
      </c>
      <c r="D131" s="79" t="s">
        <v>533</v>
      </c>
      <c r="E131" s="79" t="s">
        <v>496</v>
      </c>
      <c r="F131" s="79" t="s">
        <v>497</v>
      </c>
      <c r="G131" s="79" t="s">
        <v>525</v>
      </c>
      <c r="H131" s="79">
        <v>7.15</v>
      </c>
      <c r="I131" s="79">
        <v>1</v>
      </c>
      <c r="M131" s="79">
        <v>-232.44</v>
      </c>
      <c r="N131" s="79">
        <v>1686.22</v>
      </c>
    </row>
    <row r="132" spans="2:15" x14ac:dyDescent="0.2">
      <c r="B132" s="79" t="s">
        <v>638</v>
      </c>
      <c r="C132" s="83">
        <v>45379</v>
      </c>
      <c r="D132" s="79" t="s">
        <v>534</v>
      </c>
      <c r="E132" s="79" t="s">
        <v>496</v>
      </c>
      <c r="F132" s="79" t="s">
        <v>497</v>
      </c>
      <c r="G132" s="79" t="s">
        <v>525</v>
      </c>
      <c r="I132" s="79">
        <v>0</v>
      </c>
      <c r="M132" s="79">
        <v>232.44</v>
      </c>
      <c r="N132" s="79">
        <v>1918.66</v>
      </c>
    </row>
    <row r="133" spans="2:15" x14ac:dyDescent="0.2">
      <c r="B133" s="79" t="s">
        <v>638</v>
      </c>
      <c r="C133" s="83">
        <v>45379</v>
      </c>
      <c r="D133" s="79" t="s">
        <v>522</v>
      </c>
      <c r="E133" s="79" t="s">
        <v>523</v>
      </c>
      <c r="F133" s="79" t="s">
        <v>524</v>
      </c>
      <c r="G133" s="79" t="s">
        <v>525</v>
      </c>
      <c r="H133" s="79">
        <v>1</v>
      </c>
      <c r="I133" s="79">
        <v>1</v>
      </c>
      <c r="M133" s="79">
        <v>-6.15</v>
      </c>
      <c r="N133" s="79">
        <v>1686.22</v>
      </c>
    </row>
    <row r="134" spans="2:15" x14ac:dyDescent="0.2">
      <c r="B134" s="79" t="s">
        <v>638</v>
      </c>
      <c r="C134" s="83">
        <v>45379</v>
      </c>
      <c r="D134" s="79" t="s">
        <v>526</v>
      </c>
      <c r="E134" s="79" t="s">
        <v>523</v>
      </c>
      <c r="F134" s="79" t="s">
        <v>524</v>
      </c>
      <c r="G134" s="79" t="s">
        <v>525</v>
      </c>
      <c r="I134" s="79">
        <v>0</v>
      </c>
      <c r="M134" s="79">
        <v>6.15</v>
      </c>
      <c r="N134" s="79">
        <v>1686.22</v>
      </c>
    </row>
    <row r="135" spans="2:15" x14ac:dyDescent="0.2">
      <c r="B135" s="79" t="s">
        <v>638</v>
      </c>
      <c r="C135" s="83">
        <v>45384</v>
      </c>
      <c r="D135" s="79" t="s">
        <v>588</v>
      </c>
      <c r="E135" s="79" t="s">
        <v>530</v>
      </c>
      <c r="F135" s="79" t="s">
        <v>531</v>
      </c>
      <c r="G135" s="79" t="s">
        <v>525</v>
      </c>
      <c r="H135" s="79">
        <v>58.23</v>
      </c>
      <c r="I135" s="79">
        <v>1</v>
      </c>
      <c r="M135" s="79">
        <v>-1686</v>
      </c>
      <c r="N135" s="79">
        <v>355.23</v>
      </c>
      <c r="O135" s="83">
        <v>45386</v>
      </c>
    </row>
    <row r="136" spans="2:15" x14ac:dyDescent="0.2">
      <c r="B136" s="79" t="s">
        <v>638</v>
      </c>
      <c r="C136" s="83">
        <v>45384</v>
      </c>
      <c r="D136" s="79" t="s">
        <v>527</v>
      </c>
      <c r="E136" s="79" t="s">
        <v>539</v>
      </c>
      <c r="F136" s="79" t="s">
        <v>528</v>
      </c>
      <c r="G136" s="79" t="s">
        <v>525</v>
      </c>
      <c r="I136" s="79">
        <v>0</v>
      </c>
      <c r="M136" s="79">
        <v>355.01</v>
      </c>
      <c r="N136" s="79">
        <v>2041.23</v>
      </c>
    </row>
    <row r="137" spans="2:15" x14ac:dyDescent="0.2">
      <c r="B137" s="79" t="s">
        <v>638</v>
      </c>
      <c r="C137" s="83">
        <v>45398</v>
      </c>
      <c r="D137" s="79" t="s">
        <v>527</v>
      </c>
      <c r="E137" s="79" t="s">
        <v>539</v>
      </c>
      <c r="F137" s="79" t="s">
        <v>528</v>
      </c>
      <c r="G137" s="79" t="s">
        <v>525</v>
      </c>
      <c r="I137" s="79">
        <v>0</v>
      </c>
      <c r="M137" s="79">
        <v>355.01</v>
      </c>
      <c r="N137" s="79">
        <v>710.24</v>
      </c>
    </row>
    <row r="138" spans="2:15" x14ac:dyDescent="0.2">
      <c r="B138" s="79" t="s">
        <v>638</v>
      </c>
      <c r="C138" s="83">
        <v>45412</v>
      </c>
      <c r="D138" s="79" t="s">
        <v>533</v>
      </c>
      <c r="E138" s="79" t="s">
        <v>496</v>
      </c>
      <c r="F138" s="79" t="s">
        <v>497</v>
      </c>
      <c r="G138" s="79" t="s">
        <v>525</v>
      </c>
      <c r="H138" s="79">
        <v>6.95</v>
      </c>
      <c r="I138" s="79">
        <v>1</v>
      </c>
      <c r="M138" s="79">
        <v>-224.56</v>
      </c>
      <c r="N138" s="79">
        <v>712.96</v>
      </c>
    </row>
    <row r="139" spans="2:15" x14ac:dyDescent="0.2">
      <c r="B139" s="79" t="s">
        <v>638</v>
      </c>
      <c r="C139" s="83">
        <v>45412</v>
      </c>
      <c r="D139" s="79" t="s">
        <v>534</v>
      </c>
      <c r="E139" s="79" t="s">
        <v>496</v>
      </c>
      <c r="F139" s="79" t="s">
        <v>497</v>
      </c>
      <c r="G139" s="79" t="s">
        <v>525</v>
      </c>
      <c r="I139" s="79">
        <v>0</v>
      </c>
      <c r="M139" s="79">
        <v>224.56</v>
      </c>
      <c r="N139" s="79">
        <v>937.52</v>
      </c>
    </row>
    <row r="140" spans="2:15" x14ac:dyDescent="0.2">
      <c r="B140" s="79" t="s">
        <v>638</v>
      </c>
      <c r="C140" s="83">
        <v>45412</v>
      </c>
      <c r="D140" s="79" t="s">
        <v>522</v>
      </c>
      <c r="E140" s="79" t="s">
        <v>523</v>
      </c>
      <c r="F140" s="79" t="s">
        <v>524</v>
      </c>
      <c r="G140" s="79" t="s">
        <v>525</v>
      </c>
      <c r="H140" s="79">
        <v>1</v>
      </c>
      <c r="I140" s="79">
        <v>1</v>
      </c>
      <c r="M140" s="79">
        <v>-2.72</v>
      </c>
      <c r="N140" s="79">
        <v>712.96</v>
      </c>
    </row>
    <row r="141" spans="2:15" x14ac:dyDescent="0.2">
      <c r="B141" s="79" t="s">
        <v>638</v>
      </c>
      <c r="C141" s="83">
        <v>45412</v>
      </c>
      <c r="D141" s="79" t="s">
        <v>526</v>
      </c>
      <c r="E141" s="79" t="s">
        <v>523</v>
      </c>
      <c r="F141" s="79" t="s">
        <v>524</v>
      </c>
      <c r="G141" s="79" t="s">
        <v>525</v>
      </c>
      <c r="I141" s="79">
        <v>0</v>
      </c>
      <c r="M141" s="79">
        <v>2.72</v>
      </c>
      <c r="N141" s="79">
        <v>712.96</v>
      </c>
    </row>
    <row r="142" spans="2:15" x14ac:dyDescent="0.2">
      <c r="B142" s="79" t="s">
        <v>638</v>
      </c>
      <c r="C142" s="83">
        <v>45413</v>
      </c>
      <c r="D142" s="79" t="s">
        <v>527</v>
      </c>
      <c r="E142" s="79" t="s">
        <v>539</v>
      </c>
      <c r="F142" s="79" t="s">
        <v>528</v>
      </c>
      <c r="G142" s="79" t="s">
        <v>525</v>
      </c>
      <c r="I142" s="79">
        <v>0</v>
      </c>
      <c r="M142" s="79">
        <v>355.01</v>
      </c>
      <c r="N142" s="79">
        <v>1067.97</v>
      </c>
    </row>
    <row r="143" spans="2:15" x14ac:dyDescent="0.2">
      <c r="B143" s="79" t="s">
        <v>638</v>
      </c>
      <c r="C143" s="83">
        <v>45418</v>
      </c>
      <c r="D143" s="79" t="s">
        <v>587</v>
      </c>
      <c r="E143" s="79" t="s">
        <v>530</v>
      </c>
      <c r="F143" s="79" t="s">
        <v>531</v>
      </c>
      <c r="G143" s="79" t="s">
        <v>525</v>
      </c>
      <c r="H143" s="79">
        <v>57.84</v>
      </c>
      <c r="I143" s="79">
        <v>1</v>
      </c>
      <c r="M143" s="79">
        <v>-1065</v>
      </c>
      <c r="N143" s="79">
        <v>2.97</v>
      </c>
      <c r="O143" s="83">
        <v>45420</v>
      </c>
    </row>
    <row r="144" spans="2:15" x14ac:dyDescent="0.2">
      <c r="B144" s="79" t="s">
        <v>638</v>
      </c>
      <c r="C144" s="83">
        <v>45428</v>
      </c>
      <c r="D144" s="79" t="s">
        <v>527</v>
      </c>
      <c r="E144" s="79" t="s">
        <v>539</v>
      </c>
      <c r="F144" s="79" t="s">
        <v>528</v>
      </c>
      <c r="G144" s="79" t="s">
        <v>525</v>
      </c>
      <c r="I144" s="79">
        <v>0</v>
      </c>
      <c r="M144" s="79">
        <v>355.01</v>
      </c>
      <c r="N144" s="79">
        <v>357.98</v>
      </c>
    </row>
    <row r="145" spans="2:15" x14ac:dyDescent="0.2">
      <c r="B145" s="79" t="s">
        <v>638</v>
      </c>
      <c r="C145" s="83">
        <v>45443</v>
      </c>
      <c r="D145" s="79" t="s">
        <v>533</v>
      </c>
      <c r="E145" s="79" t="s">
        <v>496</v>
      </c>
      <c r="F145" s="79" t="s">
        <v>497</v>
      </c>
      <c r="G145" s="79" t="s">
        <v>525</v>
      </c>
      <c r="H145" s="79">
        <v>7.04</v>
      </c>
      <c r="I145" s="79">
        <v>1</v>
      </c>
      <c r="M145" s="79">
        <v>-236.9</v>
      </c>
      <c r="N145" s="79">
        <v>359.69</v>
      </c>
    </row>
    <row r="146" spans="2:15" x14ac:dyDescent="0.2">
      <c r="B146" s="79" t="s">
        <v>638</v>
      </c>
      <c r="C146" s="83">
        <v>45443</v>
      </c>
      <c r="D146" s="79" t="s">
        <v>534</v>
      </c>
      <c r="E146" s="79" t="s">
        <v>496</v>
      </c>
      <c r="F146" s="79" t="s">
        <v>497</v>
      </c>
      <c r="G146" s="79" t="s">
        <v>525</v>
      </c>
      <c r="I146" s="79">
        <v>0</v>
      </c>
      <c r="M146" s="79">
        <v>236.9</v>
      </c>
      <c r="N146" s="79">
        <v>596.59</v>
      </c>
    </row>
    <row r="147" spans="2:15" x14ac:dyDescent="0.2">
      <c r="B147" s="79" t="s">
        <v>638</v>
      </c>
      <c r="C147" s="83">
        <v>45443</v>
      </c>
      <c r="D147" s="79" t="s">
        <v>522</v>
      </c>
      <c r="E147" s="79" t="s">
        <v>523</v>
      </c>
      <c r="F147" s="79" t="s">
        <v>524</v>
      </c>
      <c r="G147" s="79" t="s">
        <v>525</v>
      </c>
      <c r="H147" s="79">
        <v>1</v>
      </c>
      <c r="I147" s="79">
        <v>1</v>
      </c>
      <c r="M147" s="79">
        <v>-1.71</v>
      </c>
      <c r="N147" s="79">
        <v>359.69</v>
      </c>
    </row>
    <row r="148" spans="2:15" x14ac:dyDescent="0.2">
      <c r="B148" s="79" t="s">
        <v>638</v>
      </c>
      <c r="C148" s="83">
        <v>45443</v>
      </c>
      <c r="D148" s="79" t="s">
        <v>526</v>
      </c>
      <c r="E148" s="79" t="s">
        <v>523</v>
      </c>
      <c r="F148" s="79" t="s">
        <v>524</v>
      </c>
      <c r="G148" s="79" t="s">
        <v>525</v>
      </c>
      <c r="I148" s="79">
        <v>0</v>
      </c>
      <c r="M148" s="79">
        <v>1.71</v>
      </c>
      <c r="N148" s="79">
        <v>359.69</v>
      </c>
    </row>
    <row r="149" spans="2:15" x14ac:dyDescent="0.2">
      <c r="B149" s="79" t="s">
        <v>638</v>
      </c>
      <c r="C149" s="83">
        <v>45446</v>
      </c>
      <c r="D149" s="79" t="s">
        <v>586</v>
      </c>
      <c r="E149" s="79" t="s">
        <v>530</v>
      </c>
      <c r="F149" s="79" t="s">
        <v>531</v>
      </c>
      <c r="G149" s="79" t="s">
        <v>525</v>
      </c>
      <c r="H149" s="79">
        <v>59.87</v>
      </c>
      <c r="I149" s="79">
        <v>1</v>
      </c>
      <c r="M149" s="79">
        <v>-714</v>
      </c>
      <c r="N149" s="79">
        <v>0.7</v>
      </c>
      <c r="O149" s="83">
        <v>45447</v>
      </c>
    </row>
    <row r="150" spans="2:15" x14ac:dyDescent="0.2">
      <c r="B150" s="79" t="s">
        <v>638</v>
      </c>
      <c r="C150" s="83">
        <v>45446</v>
      </c>
      <c r="D150" s="79" t="s">
        <v>527</v>
      </c>
      <c r="E150" s="79" t="s">
        <v>539</v>
      </c>
      <c r="F150" s="79" t="s">
        <v>528</v>
      </c>
      <c r="G150" s="79" t="s">
        <v>525</v>
      </c>
      <c r="I150" s="79">
        <v>0</v>
      </c>
      <c r="M150" s="79">
        <v>355.01</v>
      </c>
      <c r="N150" s="79">
        <v>714.7</v>
      </c>
    </row>
    <row r="151" spans="2:15" x14ac:dyDescent="0.2">
      <c r="B151" s="79" t="s">
        <v>638</v>
      </c>
      <c r="C151" s="83">
        <v>45460</v>
      </c>
      <c r="D151" s="79" t="s">
        <v>527</v>
      </c>
      <c r="E151" s="79" t="s">
        <v>539</v>
      </c>
      <c r="F151" s="79" t="s">
        <v>528</v>
      </c>
      <c r="G151" s="79" t="s">
        <v>525</v>
      </c>
      <c r="I151" s="79">
        <v>0</v>
      </c>
      <c r="M151" s="79">
        <v>355.01</v>
      </c>
      <c r="N151" s="79">
        <v>355.71</v>
      </c>
    </row>
    <row r="152" spans="2:15" x14ac:dyDescent="0.2">
      <c r="B152" s="79" t="s">
        <v>638</v>
      </c>
      <c r="C152" s="83">
        <v>45467</v>
      </c>
      <c r="D152" s="79" t="s">
        <v>584</v>
      </c>
      <c r="E152" s="79" t="s">
        <v>537</v>
      </c>
      <c r="F152" s="79" t="s">
        <v>538</v>
      </c>
      <c r="G152" s="79" t="s">
        <v>525</v>
      </c>
      <c r="H152" s="79">
        <v>15.77</v>
      </c>
      <c r="I152" s="79">
        <v>1</v>
      </c>
      <c r="M152" s="79">
        <v>-951.67</v>
      </c>
      <c r="N152" s="79">
        <v>355.71</v>
      </c>
    </row>
    <row r="153" spans="2:15" x14ac:dyDescent="0.2">
      <c r="B153" s="79" t="s">
        <v>638</v>
      </c>
      <c r="C153" s="83">
        <v>45467</v>
      </c>
      <c r="D153" s="79" t="s">
        <v>585</v>
      </c>
      <c r="E153" s="79" t="s">
        <v>537</v>
      </c>
      <c r="F153" s="79" t="s">
        <v>538</v>
      </c>
      <c r="G153" s="79" t="s">
        <v>525</v>
      </c>
      <c r="I153" s="79">
        <v>0</v>
      </c>
      <c r="M153" s="79">
        <v>951.67</v>
      </c>
      <c r="N153" s="79">
        <v>1307.3800000000001</v>
      </c>
    </row>
    <row r="154" spans="2:15" x14ac:dyDescent="0.2">
      <c r="B154" s="79" t="s">
        <v>638</v>
      </c>
      <c r="C154" s="83">
        <v>45471</v>
      </c>
      <c r="D154" s="79" t="s">
        <v>533</v>
      </c>
      <c r="E154" s="79" t="s">
        <v>496</v>
      </c>
      <c r="F154" s="79" t="s">
        <v>497</v>
      </c>
      <c r="G154" s="79" t="s">
        <v>525</v>
      </c>
      <c r="H154" s="79">
        <v>7.09</v>
      </c>
      <c r="I154" s="79">
        <v>1</v>
      </c>
      <c r="M154" s="79">
        <v>-223.42</v>
      </c>
      <c r="N154" s="79">
        <v>356.49</v>
      </c>
    </row>
    <row r="155" spans="2:15" x14ac:dyDescent="0.2">
      <c r="B155" s="79" t="s">
        <v>638</v>
      </c>
      <c r="C155" s="83">
        <v>45471</v>
      </c>
      <c r="D155" s="79" t="s">
        <v>534</v>
      </c>
      <c r="E155" s="79" t="s">
        <v>496</v>
      </c>
      <c r="F155" s="79" t="s">
        <v>497</v>
      </c>
      <c r="G155" s="79" t="s">
        <v>525</v>
      </c>
      <c r="I155" s="79">
        <v>0</v>
      </c>
      <c r="M155" s="79">
        <v>223.42</v>
      </c>
      <c r="N155" s="79">
        <v>579.91</v>
      </c>
    </row>
    <row r="156" spans="2:15" x14ac:dyDescent="0.2">
      <c r="B156" s="79" t="s">
        <v>638</v>
      </c>
      <c r="C156" s="83">
        <v>45471</v>
      </c>
      <c r="D156" s="79" t="s">
        <v>522</v>
      </c>
      <c r="E156" s="79" t="s">
        <v>523</v>
      </c>
      <c r="F156" s="79" t="s">
        <v>524</v>
      </c>
      <c r="G156" s="79" t="s">
        <v>525</v>
      </c>
      <c r="H156" s="79">
        <v>1</v>
      </c>
      <c r="I156" s="79">
        <v>1</v>
      </c>
      <c r="M156" s="79">
        <v>-0.78</v>
      </c>
      <c r="N156" s="79">
        <v>356.49</v>
      </c>
    </row>
    <row r="157" spans="2:15" x14ac:dyDescent="0.2">
      <c r="B157" s="79" t="s">
        <v>638</v>
      </c>
      <c r="C157" s="83">
        <v>45471</v>
      </c>
      <c r="D157" s="79" t="s">
        <v>526</v>
      </c>
      <c r="E157" s="79" t="s">
        <v>523</v>
      </c>
      <c r="F157" s="79" t="s">
        <v>524</v>
      </c>
      <c r="G157" s="79" t="s">
        <v>525</v>
      </c>
      <c r="I157" s="79">
        <v>0</v>
      </c>
      <c r="M157" s="79">
        <v>0.78</v>
      </c>
      <c r="N157" s="79">
        <v>356.49</v>
      </c>
    </row>
    <row r="158" spans="2:15" x14ac:dyDescent="0.2">
      <c r="B158" s="79" t="s">
        <v>638</v>
      </c>
      <c r="C158" s="83">
        <v>45474</v>
      </c>
      <c r="D158" s="79" t="s">
        <v>582</v>
      </c>
      <c r="E158" s="79" t="s">
        <v>488</v>
      </c>
      <c r="F158" s="79" t="s">
        <v>510</v>
      </c>
      <c r="G158" s="79" t="s">
        <v>525</v>
      </c>
      <c r="H158" s="79">
        <v>118.82</v>
      </c>
      <c r="I158" s="79">
        <v>1</v>
      </c>
      <c r="M158" s="79">
        <v>-845.41</v>
      </c>
      <c r="N158" s="79">
        <v>0</v>
      </c>
    </row>
    <row r="159" spans="2:15" x14ac:dyDescent="0.2">
      <c r="B159" s="79" t="s">
        <v>638</v>
      </c>
      <c r="C159" s="83">
        <v>45474</v>
      </c>
      <c r="D159" s="79" t="s">
        <v>583</v>
      </c>
      <c r="E159" s="79" t="s">
        <v>488</v>
      </c>
      <c r="F159" s="79" t="s">
        <v>510</v>
      </c>
      <c r="G159" s="79" t="s">
        <v>525</v>
      </c>
      <c r="I159" s="79">
        <v>0</v>
      </c>
      <c r="M159" s="79">
        <v>845.41</v>
      </c>
      <c r="N159" s="79">
        <v>845.41</v>
      </c>
    </row>
    <row r="160" spans="2:15" x14ac:dyDescent="0.2">
      <c r="B160" s="79" t="s">
        <v>638</v>
      </c>
      <c r="C160" s="83">
        <v>45474</v>
      </c>
      <c r="D160" s="79" t="s">
        <v>540</v>
      </c>
      <c r="E160" s="79" t="s">
        <v>506</v>
      </c>
      <c r="F160" s="79" t="s">
        <v>507</v>
      </c>
      <c r="G160" s="79" t="s">
        <v>525</v>
      </c>
      <c r="H160" s="79">
        <v>66.150000000000006</v>
      </c>
      <c r="I160" s="79">
        <v>1</v>
      </c>
      <c r="M160" s="79">
        <v>-711.5</v>
      </c>
      <c r="N160" s="79">
        <v>0</v>
      </c>
      <c r="O160" s="83">
        <v>45475</v>
      </c>
    </row>
    <row r="161" spans="2:15" x14ac:dyDescent="0.2">
      <c r="B161" s="79" t="s">
        <v>638</v>
      </c>
      <c r="C161" s="83">
        <v>45474</v>
      </c>
      <c r="D161" s="79" t="s">
        <v>527</v>
      </c>
      <c r="E161" s="79" t="s">
        <v>539</v>
      </c>
      <c r="F161" s="79" t="s">
        <v>528</v>
      </c>
      <c r="G161" s="79" t="s">
        <v>525</v>
      </c>
      <c r="I161" s="79">
        <v>0</v>
      </c>
      <c r="M161" s="79">
        <v>355.01</v>
      </c>
      <c r="N161" s="79">
        <v>711.5</v>
      </c>
    </row>
    <row r="162" spans="2:15" x14ac:dyDescent="0.2">
      <c r="B162" s="79" t="s">
        <v>638</v>
      </c>
      <c r="C162" s="83">
        <v>45489</v>
      </c>
      <c r="D162" s="79" t="s">
        <v>527</v>
      </c>
      <c r="E162" s="79" t="s">
        <v>539</v>
      </c>
      <c r="F162" s="79" t="s">
        <v>528</v>
      </c>
      <c r="G162" s="79" t="s">
        <v>525</v>
      </c>
      <c r="I162" s="79">
        <v>0</v>
      </c>
      <c r="M162" s="79">
        <v>355.01</v>
      </c>
      <c r="N162" s="79">
        <v>355.01</v>
      </c>
    </row>
    <row r="163" spans="2:15" x14ac:dyDescent="0.2">
      <c r="B163" s="79" t="s">
        <v>638</v>
      </c>
      <c r="C163" s="83">
        <v>45504</v>
      </c>
      <c r="D163" s="79" t="s">
        <v>533</v>
      </c>
      <c r="E163" s="79" t="s">
        <v>496</v>
      </c>
      <c r="F163" s="79" t="s">
        <v>497</v>
      </c>
      <c r="G163" s="79" t="s">
        <v>525</v>
      </c>
      <c r="H163" s="79">
        <v>7.23</v>
      </c>
      <c r="I163" s="79">
        <v>1</v>
      </c>
      <c r="M163" s="79">
        <v>-233.89</v>
      </c>
      <c r="N163" s="79">
        <v>355.79</v>
      </c>
    </row>
    <row r="164" spans="2:15" x14ac:dyDescent="0.2">
      <c r="B164" s="79" t="s">
        <v>638</v>
      </c>
      <c r="C164" s="83">
        <v>45504</v>
      </c>
      <c r="D164" s="79" t="s">
        <v>534</v>
      </c>
      <c r="E164" s="79" t="s">
        <v>496</v>
      </c>
      <c r="F164" s="79" t="s">
        <v>497</v>
      </c>
      <c r="G164" s="79" t="s">
        <v>525</v>
      </c>
      <c r="I164" s="79">
        <v>0</v>
      </c>
      <c r="M164" s="79">
        <v>233.89</v>
      </c>
      <c r="N164" s="79">
        <v>589.67999999999995</v>
      </c>
    </row>
    <row r="165" spans="2:15" x14ac:dyDescent="0.2">
      <c r="B165" s="79" t="s">
        <v>638</v>
      </c>
      <c r="C165" s="83">
        <v>45504</v>
      </c>
      <c r="D165" s="79" t="s">
        <v>522</v>
      </c>
      <c r="E165" s="79" t="s">
        <v>523</v>
      </c>
      <c r="F165" s="79" t="s">
        <v>524</v>
      </c>
      <c r="G165" s="79" t="s">
        <v>525</v>
      </c>
      <c r="H165" s="79">
        <v>1</v>
      </c>
      <c r="I165" s="79">
        <v>1</v>
      </c>
      <c r="M165" s="79">
        <v>-0.78</v>
      </c>
      <c r="N165" s="79">
        <v>355.79</v>
      </c>
    </row>
    <row r="166" spans="2:15" x14ac:dyDescent="0.2">
      <c r="B166" s="79" t="s">
        <v>638</v>
      </c>
      <c r="C166" s="83">
        <v>45504</v>
      </c>
      <c r="D166" s="79" t="s">
        <v>526</v>
      </c>
      <c r="E166" s="79" t="s">
        <v>523</v>
      </c>
      <c r="F166" s="79" t="s">
        <v>524</v>
      </c>
      <c r="G166" s="79" t="s">
        <v>525</v>
      </c>
      <c r="I166" s="79">
        <v>0</v>
      </c>
      <c r="M166" s="79">
        <v>0.78</v>
      </c>
      <c r="N166" s="79">
        <v>355.79</v>
      </c>
    </row>
    <row r="167" spans="2:15" x14ac:dyDescent="0.2">
      <c r="B167" s="79" t="s">
        <v>638</v>
      </c>
      <c r="C167" s="83">
        <v>45505</v>
      </c>
      <c r="D167" s="79" t="s">
        <v>527</v>
      </c>
      <c r="E167" s="79" t="s">
        <v>539</v>
      </c>
      <c r="F167" s="79" t="s">
        <v>528</v>
      </c>
      <c r="G167" s="79" t="s">
        <v>525</v>
      </c>
      <c r="I167" s="79">
        <v>0</v>
      </c>
      <c r="M167" s="79">
        <v>355.01</v>
      </c>
      <c r="N167" s="79">
        <v>710.8</v>
      </c>
    </row>
    <row r="168" spans="2:15" x14ac:dyDescent="0.2">
      <c r="B168" s="79" t="s">
        <v>638</v>
      </c>
      <c r="C168" s="83">
        <v>45510</v>
      </c>
      <c r="D168" s="79" t="s">
        <v>542</v>
      </c>
      <c r="E168" s="79" t="s">
        <v>496</v>
      </c>
      <c r="F168" s="79" t="s">
        <v>497</v>
      </c>
      <c r="G168" s="79" t="s">
        <v>525</v>
      </c>
      <c r="H168" s="79">
        <v>7.29</v>
      </c>
      <c r="I168" s="79">
        <v>1</v>
      </c>
      <c r="M168" s="79">
        <v>-710</v>
      </c>
      <c r="N168" s="79">
        <v>0.8</v>
      </c>
      <c r="O168" s="83">
        <v>45511</v>
      </c>
    </row>
    <row r="169" spans="2:15" x14ac:dyDescent="0.2">
      <c r="B169" s="79" t="s">
        <v>638</v>
      </c>
      <c r="C169" s="83">
        <v>45520</v>
      </c>
      <c r="D169" s="79" t="s">
        <v>527</v>
      </c>
      <c r="E169" s="79" t="s">
        <v>539</v>
      </c>
      <c r="F169" s="79" t="s">
        <v>528</v>
      </c>
      <c r="G169" s="79" t="s">
        <v>525</v>
      </c>
      <c r="I169" s="79">
        <v>0</v>
      </c>
      <c r="M169" s="79">
        <v>355.01</v>
      </c>
      <c r="N169" s="79">
        <v>355.81</v>
      </c>
    </row>
    <row r="170" spans="2:15" x14ac:dyDescent="0.2">
      <c r="B170" s="79" t="s">
        <v>638</v>
      </c>
      <c r="C170" s="83">
        <v>45534</v>
      </c>
      <c r="D170" s="79" t="s">
        <v>533</v>
      </c>
      <c r="E170" s="79" t="s">
        <v>496</v>
      </c>
      <c r="F170" s="79" t="s">
        <v>497</v>
      </c>
      <c r="G170" s="79" t="s">
        <v>525</v>
      </c>
      <c r="H170" s="79">
        <v>7.31</v>
      </c>
      <c r="I170" s="79">
        <v>1</v>
      </c>
      <c r="M170" s="79">
        <v>-231.18</v>
      </c>
      <c r="N170" s="79">
        <v>356.98</v>
      </c>
    </row>
    <row r="171" spans="2:15" x14ac:dyDescent="0.2">
      <c r="B171" s="79" t="s">
        <v>638</v>
      </c>
      <c r="C171" s="83">
        <v>45534</v>
      </c>
      <c r="D171" s="79" t="s">
        <v>534</v>
      </c>
      <c r="E171" s="79" t="s">
        <v>496</v>
      </c>
      <c r="F171" s="79" t="s">
        <v>497</v>
      </c>
      <c r="G171" s="79" t="s">
        <v>525</v>
      </c>
      <c r="I171" s="79">
        <v>0</v>
      </c>
      <c r="M171" s="79">
        <v>231.18</v>
      </c>
      <c r="N171" s="79">
        <v>588.16</v>
      </c>
    </row>
    <row r="172" spans="2:15" x14ac:dyDescent="0.2">
      <c r="B172" s="79" t="s">
        <v>638</v>
      </c>
      <c r="C172" s="83">
        <v>45534</v>
      </c>
      <c r="D172" s="79" t="s">
        <v>522</v>
      </c>
      <c r="E172" s="79" t="s">
        <v>523</v>
      </c>
      <c r="F172" s="79" t="s">
        <v>524</v>
      </c>
      <c r="G172" s="79" t="s">
        <v>525</v>
      </c>
      <c r="H172" s="79">
        <v>1</v>
      </c>
      <c r="I172" s="79">
        <v>1</v>
      </c>
      <c r="M172" s="79">
        <v>-1.17</v>
      </c>
      <c r="N172" s="79">
        <v>356.98</v>
      </c>
    </row>
    <row r="173" spans="2:15" x14ac:dyDescent="0.2">
      <c r="B173" s="79" t="s">
        <v>638</v>
      </c>
      <c r="C173" s="83">
        <v>45534</v>
      </c>
      <c r="D173" s="79" t="s">
        <v>526</v>
      </c>
      <c r="E173" s="79" t="s">
        <v>523</v>
      </c>
      <c r="F173" s="79" t="s">
        <v>524</v>
      </c>
      <c r="G173" s="79" t="s">
        <v>525</v>
      </c>
      <c r="I173" s="79">
        <v>0</v>
      </c>
      <c r="M173" s="79">
        <v>1.17</v>
      </c>
      <c r="N173" s="79">
        <v>356.98</v>
      </c>
    </row>
    <row r="174" spans="2:15" x14ac:dyDescent="0.2">
      <c r="B174" s="79" t="s">
        <v>638</v>
      </c>
      <c r="C174" s="83">
        <v>45538</v>
      </c>
      <c r="D174" s="79" t="s">
        <v>527</v>
      </c>
      <c r="E174" s="79" t="s">
        <v>539</v>
      </c>
      <c r="F174" s="79" t="s">
        <v>528</v>
      </c>
      <c r="G174" s="79" t="s">
        <v>525</v>
      </c>
      <c r="I174" s="79">
        <v>0</v>
      </c>
      <c r="M174" s="79">
        <v>355.01</v>
      </c>
      <c r="N174" s="79">
        <v>711.99</v>
      </c>
    </row>
    <row r="175" spans="2:15" x14ac:dyDescent="0.2">
      <c r="B175" s="79" t="s">
        <v>638</v>
      </c>
      <c r="C175" s="83">
        <v>45548</v>
      </c>
      <c r="D175" s="79" t="s">
        <v>572</v>
      </c>
      <c r="E175" s="79" t="s">
        <v>498</v>
      </c>
      <c r="F175" s="79" t="s">
        <v>499</v>
      </c>
      <c r="G175" s="79" t="s">
        <v>525</v>
      </c>
      <c r="H175" s="79">
        <v>32.450000000000003</v>
      </c>
      <c r="I175" s="79">
        <v>1</v>
      </c>
      <c r="M175" s="79">
        <v>-2664.56</v>
      </c>
      <c r="N175" s="79">
        <v>711.99</v>
      </c>
    </row>
    <row r="176" spans="2:15" x14ac:dyDescent="0.2">
      <c r="B176" s="79" t="s">
        <v>638</v>
      </c>
      <c r="C176" s="83">
        <v>45548</v>
      </c>
      <c r="D176" s="79" t="s">
        <v>573</v>
      </c>
      <c r="E176" s="79" t="s">
        <v>498</v>
      </c>
      <c r="F176" s="79" t="s">
        <v>499</v>
      </c>
      <c r="G176" s="79" t="s">
        <v>525</v>
      </c>
      <c r="I176" s="79">
        <v>0</v>
      </c>
      <c r="M176" s="79">
        <v>1784.81</v>
      </c>
      <c r="N176" s="79">
        <v>3376.55</v>
      </c>
    </row>
    <row r="177" spans="2:14" x14ac:dyDescent="0.2">
      <c r="B177" s="79" t="s">
        <v>638</v>
      </c>
      <c r="C177" s="83">
        <v>45548</v>
      </c>
      <c r="D177" s="79" t="s">
        <v>581</v>
      </c>
      <c r="E177" s="79" t="s">
        <v>498</v>
      </c>
      <c r="F177" s="79" t="s">
        <v>499</v>
      </c>
      <c r="G177" s="79" t="s">
        <v>525</v>
      </c>
      <c r="I177" s="79">
        <v>0</v>
      </c>
      <c r="M177" s="79">
        <v>879.75</v>
      </c>
      <c r="N177" s="79">
        <v>1591.74</v>
      </c>
    </row>
    <row r="178" spans="2:14" x14ac:dyDescent="0.2">
      <c r="B178" s="79" t="s">
        <v>638</v>
      </c>
      <c r="C178" s="83">
        <v>45551</v>
      </c>
      <c r="D178" s="79" t="s">
        <v>527</v>
      </c>
      <c r="E178" s="79" t="s">
        <v>539</v>
      </c>
      <c r="F178" s="79" t="s">
        <v>528</v>
      </c>
      <c r="G178" s="79" t="s">
        <v>525</v>
      </c>
      <c r="I178" s="79">
        <v>0</v>
      </c>
      <c r="M178" s="79">
        <v>355.01</v>
      </c>
      <c r="N178" s="79">
        <v>1067</v>
      </c>
    </row>
    <row r="179" spans="2:14" x14ac:dyDescent="0.2">
      <c r="B179" s="79" t="s">
        <v>638</v>
      </c>
      <c r="C179" s="83">
        <v>45558</v>
      </c>
      <c r="D179" s="79" t="s">
        <v>579</v>
      </c>
      <c r="E179" s="79" t="s">
        <v>537</v>
      </c>
      <c r="F179" s="79" t="s">
        <v>538</v>
      </c>
      <c r="G179" s="79" t="s">
        <v>525</v>
      </c>
      <c r="H179" s="79">
        <v>16.7</v>
      </c>
      <c r="I179" s="79">
        <v>1</v>
      </c>
      <c r="M179" s="79">
        <v>-297.36</v>
      </c>
      <c r="N179" s="79">
        <v>1067</v>
      </c>
    </row>
    <row r="180" spans="2:14" x14ac:dyDescent="0.2">
      <c r="B180" s="79" t="s">
        <v>638</v>
      </c>
      <c r="C180" s="83">
        <v>45558</v>
      </c>
      <c r="D180" s="79" t="s">
        <v>580</v>
      </c>
      <c r="E180" s="79" t="s">
        <v>537</v>
      </c>
      <c r="F180" s="79" t="s">
        <v>538</v>
      </c>
      <c r="G180" s="79" t="s">
        <v>525</v>
      </c>
      <c r="I180" s="79">
        <v>0</v>
      </c>
      <c r="M180" s="79">
        <v>297.36</v>
      </c>
      <c r="N180" s="79">
        <v>1364.36</v>
      </c>
    </row>
    <row r="181" spans="2:14" x14ac:dyDescent="0.2">
      <c r="B181" s="79" t="s">
        <v>638</v>
      </c>
      <c r="C181" s="83">
        <v>45565</v>
      </c>
      <c r="D181" s="79" t="s">
        <v>577</v>
      </c>
      <c r="E181" s="79" t="s">
        <v>488</v>
      </c>
      <c r="F181" s="79" t="s">
        <v>510</v>
      </c>
      <c r="G181" s="79" t="s">
        <v>525</v>
      </c>
      <c r="H181" s="79">
        <v>137.1</v>
      </c>
      <c r="I181" s="79">
        <v>1</v>
      </c>
      <c r="M181" s="79">
        <v>-673.13</v>
      </c>
      <c r="N181" s="79">
        <v>1070.32</v>
      </c>
    </row>
    <row r="182" spans="2:14" x14ac:dyDescent="0.2">
      <c r="B182" s="79" t="s">
        <v>638</v>
      </c>
      <c r="C182" s="83">
        <v>45565</v>
      </c>
      <c r="D182" s="79" t="s">
        <v>578</v>
      </c>
      <c r="E182" s="79" t="s">
        <v>488</v>
      </c>
      <c r="F182" s="79" t="s">
        <v>510</v>
      </c>
      <c r="G182" s="79" t="s">
        <v>525</v>
      </c>
      <c r="I182" s="79">
        <v>0</v>
      </c>
      <c r="M182" s="79">
        <v>673.13</v>
      </c>
      <c r="N182" s="79">
        <v>1743.45</v>
      </c>
    </row>
    <row r="183" spans="2:14" x14ac:dyDescent="0.2">
      <c r="B183" s="79" t="s">
        <v>638</v>
      </c>
      <c r="C183" s="83">
        <v>45565</v>
      </c>
      <c r="D183" s="79" t="s">
        <v>533</v>
      </c>
      <c r="E183" s="79" t="s">
        <v>496</v>
      </c>
      <c r="F183" s="79" t="s">
        <v>497</v>
      </c>
      <c r="G183" s="79" t="s">
        <v>525</v>
      </c>
      <c r="H183" s="79">
        <v>7.38</v>
      </c>
      <c r="I183" s="79">
        <v>1</v>
      </c>
      <c r="M183" s="79">
        <v>-224.01</v>
      </c>
      <c r="N183" s="79">
        <v>1070.32</v>
      </c>
    </row>
    <row r="184" spans="2:14" x14ac:dyDescent="0.2">
      <c r="B184" s="79" t="s">
        <v>638</v>
      </c>
      <c r="C184" s="83">
        <v>45565</v>
      </c>
      <c r="D184" s="79" t="s">
        <v>534</v>
      </c>
      <c r="E184" s="79" t="s">
        <v>496</v>
      </c>
      <c r="F184" s="79" t="s">
        <v>497</v>
      </c>
      <c r="G184" s="79" t="s">
        <v>525</v>
      </c>
      <c r="I184" s="79">
        <v>0</v>
      </c>
      <c r="M184" s="79">
        <v>224.01</v>
      </c>
      <c r="N184" s="79">
        <v>1294.33</v>
      </c>
    </row>
    <row r="185" spans="2:14" x14ac:dyDescent="0.2">
      <c r="B185" s="79" t="s">
        <v>638</v>
      </c>
      <c r="C185" s="83">
        <v>45565</v>
      </c>
      <c r="D185" s="79" t="s">
        <v>522</v>
      </c>
      <c r="E185" s="79" t="s">
        <v>523</v>
      </c>
      <c r="F185" s="79" t="s">
        <v>524</v>
      </c>
      <c r="G185" s="79" t="s">
        <v>525</v>
      </c>
      <c r="H185" s="79">
        <v>1</v>
      </c>
      <c r="I185" s="79">
        <v>1</v>
      </c>
      <c r="M185" s="79">
        <v>-3.32</v>
      </c>
      <c r="N185" s="79">
        <v>1070.32</v>
      </c>
    </row>
    <row r="186" spans="2:14" x14ac:dyDescent="0.2">
      <c r="B186" s="79" t="s">
        <v>638</v>
      </c>
      <c r="C186" s="83">
        <v>45565</v>
      </c>
      <c r="D186" s="79" t="s">
        <v>526</v>
      </c>
      <c r="E186" s="79" t="s">
        <v>523</v>
      </c>
      <c r="F186" s="79" t="s">
        <v>524</v>
      </c>
      <c r="G186" s="79" t="s">
        <v>525</v>
      </c>
      <c r="I186" s="79">
        <v>0</v>
      </c>
      <c r="M186" s="79">
        <v>3.32</v>
      </c>
      <c r="N186" s="79">
        <v>1070.32</v>
      </c>
    </row>
    <row r="187" spans="2:14" x14ac:dyDescent="0.2">
      <c r="B187" s="79" t="s">
        <v>638</v>
      </c>
      <c r="C187" s="83">
        <v>45566</v>
      </c>
      <c r="D187" s="79" t="s">
        <v>527</v>
      </c>
      <c r="E187" s="79" t="s">
        <v>539</v>
      </c>
      <c r="F187" s="79" t="s">
        <v>528</v>
      </c>
      <c r="G187" s="79" t="s">
        <v>525</v>
      </c>
      <c r="I187" s="79">
        <v>0</v>
      </c>
      <c r="M187" s="79">
        <v>355.01</v>
      </c>
      <c r="N187" s="79">
        <v>1425.33</v>
      </c>
    </row>
    <row r="188" spans="2:14" x14ac:dyDescent="0.2">
      <c r="B188" s="79" t="s">
        <v>638</v>
      </c>
      <c r="C188" s="83">
        <v>45581</v>
      </c>
      <c r="D188" s="79" t="s">
        <v>527</v>
      </c>
      <c r="E188" s="79" t="s">
        <v>539</v>
      </c>
      <c r="F188" s="79" t="s">
        <v>528</v>
      </c>
      <c r="G188" s="79" t="s">
        <v>525</v>
      </c>
      <c r="I188" s="79">
        <v>0</v>
      </c>
      <c r="M188" s="79">
        <v>355.01</v>
      </c>
      <c r="N188" s="79">
        <v>1780.34</v>
      </c>
    </row>
    <row r="189" spans="2:14" x14ac:dyDescent="0.2">
      <c r="B189" s="79" t="s">
        <v>638</v>
      </c>
      <c r="C189" s="83">
        <v>45596</v>
      </c>
      <c r="D189" s="79" t="s">
        <v>533</v>
      </c>
      <c r="E189" s="79" t="s">
        <v>496</v>
      </c>
      <c r="F189" s="79" t="s">
        <v>497</v>
      </c>
      <c r="G189" s="79" t="s">
        <v>525</v>
      </c>
      <c r="H189" s="79">
        <v>7.18</v>
      </c>
      <c r="I189" s="79">
        <v>1</v>
      </c>
      <c r="M189" s="79">
        <v>-233.22</v>
      </c>
      <c r="N189" s="79">
        <v>1786.48</v>
      </c>
    </row>
    <row r="190" spans="2:14" x14ac:dyDescent="0.2">
      <c r="B190" s="79" t="s">
        <v>638</v>
      </c>
      <c r="C190" s="83">
        <v>45596</v>
      </c>
      <c r="D190" s="79" t="s">
        <v>534</v>
      </c>
      <c r="E190" s="79" t="s">
        <v>496</v>
      </c>
      <c r="F190" s="79" t="s">
        <v>497</v>
      </c>
      <c r="G190" s="79" t="s">
        <v>525</v>
      </c>
      <c r="I190" s="79">
        <v>0</v>
      </c>
      <c r="M190" s="79">
        <v>233.22</v>
      </c>
      <c r="N190" s="79">
        <v>2019.7</v>
      </c>
    </row>
    <row r="191" spans="2:14" x14ac:dyDescent="0.2">
      <c r="B191" s="79" t="s">
        <v>638</v>
      </c>
      <c r="C191" s="83">
        <v>45596</v>
      </c>
      <c r="D191" s="79" t="s">
        <v>522</v>
      </c>
      <c r="E191" s="79" t="s">
        <v>523</v>
      </c>
      <c r="F191" s="79" t="s">
        <v>524</v>
      </c>
      <c r="G191" s="79" t="s">
        <v>525</v>
      </c>
      <c r="H191" s="79">
        <v>1</v>
      </c>
      <c r="I191" s="79">
        <v>1</v>
      </c>
      <c r="M191" s="79">
        <v>-6.14</v>
      </c>
      <c r="N191" s="79">
        <v>1786.48</v>
      </c>
    </row>
    <row r="192" spans="2:14" x14ac:dyDescent="0.2">
      <c r="B192" s="79" t="s">
        <v>638</v>
      </c>
      <c r="C192" s="83">
        <v>45596</v>
      </c>
      <c r="D192" s="79" t="s">
        <v>526</v>
      </c>
      <c r="E192" s="79" t="s">
        <v>523</v>
      </c>
      <c r="F192" s="79" t="s">
        <v>524</v>
      </c>
      <c r="G192" s="79" t="s">
        <v>525</v>
      </c>
      <c r="I192" s="79">
        <v>0</v>
      </c>
      <c r="M192" s="79">
        <v>6.14</v>
      </c>
      <c r="N192" s="79">
        <v>1786.48</v>
      </c>
    </row>
    <row r="193" spans="2:14" x14ac:dyDescent="0.2">
      <c r="B193" s="79" t="s">
        <v>638</v>
      </c>
      <c r="C193" s="83">
        <v>45597</v>
      </c>
      <c r="D193" s="79" t="s">
        <v>527</v>
      </c>
      <c r="E193" s="79" t="s">
        <v>539</v>
      </c>
      <c r="F193" s="79" t="s">
        <v>528</v>
      </c>
      <c r="G193" s="79" t="s">
        <v>525</v>
      </c>
      <c r="I193" s="79">
        <v>0</v>
      </c>
      <c r="M193" s="79">
        <v>355.01</v>
      </c>
      <c r="N193" s="79">
        <v>2141.4899999999998</v>
      </c>
    </row>
    <row r="194" spans="2:14" x14ac:dyDescent="0.2">
      <c r="B194" s="79" t="s">
        <v>638</v>
      </c>
      <c r="C194" s="83">
        <v>45614</v>
      </c>
      <c r="D194" s="79" t="s">
        <v>527</v>
      </c>
      <c r="E194" s="79" t="s">
        <v>539</v>
      </c>
      <c r="F194" s="79" t="s">
        <v>528</v>
      </c>
      <c r="G194" s="79" t="s">
        <v>525</v>
      </c>
      <c r="I194" s="79">
        <v>0</v>
      </c>
      <c r="M194" s="79">
        <v>355.01</v>
      </c>
      <c r="N194" s="79">
        <v>2496.5</v>
      </c>
    </row>
    <row r="195" spans="2:14" x14ac:dyDescent="0.2">
      <c r="B195" s="79" t="s">
        <v>638</v>
      </c>
      <c r="C195" s="83">
        <v>45625</v>
      </c>
      <c r="D195" s="79" t="s">
        <v>533</v>
      </c>
      <c r="E195" s="79" t="s">
        <v>496</v>
      </c>
      <c r="F195" s="79" t="s">
        <v>497</v>
      </c>
      <c r="G195" s="79" t="s">
        <v>525</v>
      </c>
      <c r="H195" s="79">
        <v>7.24</v>
      </c>
      <c r="I195" s="79">
        <v>1</v>
      </c>
      <c r="M195" s="79">
        <v>-224.91</v>
      </c>
      <c r="N195" s="79">
        <v>2504.54</v>
      </c>
    </row>
    <row r="196" spans="2:14" x14ac:dyDescent="0.2">
      <c r="B196" s="79" t="s">
        <v>638</v>
      </c>
      <c r="C196" s="83">
        <v>45625</v>
      </c>
      <c r="D196" s="79" t="s">
        <v>534</v>
      </c>
      <c r="E196" s="79" t="s">
        <v>496</v>
      </c>
      <c r="F196" s="79" t="s">
        <v>497</v>
      </c>
      <c r="G196" s="79" t="s">
        <v>525</v>
      </c>
      <c r="I196" s="79">
        <v>0</v>
      </c>
      <c r="M196" s="79">
        <v>224.91</v>
      </c>
      <c r="N196" s="79">
        <v>2729.45</v>
      </c>
    </row>
    <row r="197" spans="2:14" x14ac:dyDescent="0.2">
      <c r="B197" s="79" t="s">
        <v>638</v>
      </c>
      <c r="C197" s="83">
        <v>45625</v>
      </c>
      <c r="D197" s="79" t="s">
        <v>522</v>
      </c>
      <c r="E197" s="79" t="s">
        <v>523</v>
      </c>
      <c r="F197" s="79" t="s">
        <v>524</v>
      </c>
      <c r="G197" s="79" t="s">
        <v>525</v>
      </c>
      <c r="H197" s="79">
        <v>1</v>
      </c>
      <c r="I197" s="79">
        <v>1</v>
      </c>
      <c r="M197" s="79">
        <v>-8.0399999999999991</v>
      </c>
      <c r="N197" s="79">
        <v>2504.54</v>
      </c>
    </row>
    <row r="198" spans="2:14" x14ac:dyDescent="0.2">
      <c r="B198" s="79" t="s">
        <v>638</v>
      </c>
      <c r="C198" s="83">
        <v>45625</v>
      </c>
      <c r="D198" s="79" t="s">
        <v>526</v>
      </c>
      <c r="E198" s="79" t="s">
        <v>523</v>
      </c>
      <c r="F198" s="79" t="s">
        <v>524</v>
      </c>
      <c r="G198" s="79" t="s">
        <v>525</v>
      </c>
      <c r="I198" s="79">
        <v>0</v>
      </c>
      <c r="M198" s="79">
        <v>8.0399999999999991</v>
      </c>
      <c r="N198" s="79">
        <v>2504.54</v>
      </c>
    </row>
    <row r="199" spans="2:14" x14ac:dyDescent="0.2">
      <c r="B199" s="79" t="s">
        <v>638</v>
      </c>
      <c r="C199" s="83">
        <v>45628</v>
      </c>
      <c r="D199" s="79" t="s">
        <v>527</v>
      </c>
      <c r="E199" s="79" t="s">
        <v>539</v>
      </c>
      <c r="F199" s="79" t="s">
        <v>528</v>
      </c>
      <c r="G199" s="79" t="s">
        <v>525</v>
      </c>
      <c r="I199" s="79">
        <v>0</v>
      </c>
      <c r="M199" s="79">
        <v>355.01</v>
      </c>
      <c r="N199" s="79">
        <v>2859.55</v>
      </c>
    </row>
    <row r="200" spans="2:14" x14ac:dyDescent="0.2">
      <c r="B200" s="79" t="s">
        <v>638</v>
      </c>
      <c r="C200" s="83">
        <v>45635</v>
      </c>
      <c r="D200" s="79" t="s">
        <v>574</v>
      </c>
      <c r="E200" s="79" t="s">
        <v>506</v>
      </c>
      <c r="F200" s="79" t="s">
        <v>507</v>
      </c>
      <c r="G200" s="79" t="s">
        <v>525</v>
      </c>
      <c r="H200" s="79">
        <v>64.040000000000006</v>
      </c>
      <c r="I200" s="79">
        <v>1</v>
      </c>
      <c r="M200" s="79">
        <v>-59441.07</v>
      </c>
      <c r="N200" s="79">
        <v>2859.55</v>
      </c>
    </row>
    <row r="201" spans="2:14" x14ac:dyDescent="0.2">
      <c r="B201" s="79" t="s">
        <v>638</v>
      </c>
      <c r="C201" s="83">
        <v>45635</v>
      </c>
      <c r="D201" s="79" t="s">
        <v>574</v>
      </c>
      <c r="E201" s="79" t="s">
        <v>506</v>
      </c>
      <c r="F201" s="79" t="s">
        <v>507</v>
      </c>
      <c r="G201" s="79" t="s">
        <v>525</v>
      </c>
      <c r="H201" s="79">
        <v>64.040000000000006</v>
      </c>
      <c r="I201" s="79">
        <v>1</v>
      </c>
      <c r="M201" s="79">
        <v>-4828.37</v>
      </c>
      <c r="N201" s="79">
        <v>62300.62</v>
      </c>
    </row>
    <row r="202" spans="2:14" x14ac:dyDescent="0.2">
      <c r="B202" s="79" t="s">
        <v>638</v>
      </c>
      <c r="C202" s="83">
        <v>45635</v>
      </c>
      <c r="D202" s="79" t="s">
        <v>575</v>
      </c>
      <c r="E202" s="79" t="s">
        <v>506</v>
      </c>
      <c r="F202" s="79" t="s">
        <v>507</v>
      </c>
      <c r="G202" s="79" t="s">
        <v>525</v>
      </c>
      <c r="I202" s="79">
        <v>0</v>
      </c>
      <c r="M202" s="79">
        <v>4828.37</v>
      </c>
      <c r="N202" s="79">
        <v>67128.990000000005</v>
      </c>
    </row>
    <row r="203" spans="2:14" x14ac:dyDescent="0.2">
      <c r="B203" s="79" t="s">
        <v>638</v>
      </c>
      <c r="C203" s="83">
        <v>45635</v>
      </c>
      <c r="D203" s="79" t="s">
        <v>576</v>
      </c>
      <c r="E203" s="79" t="s">
        <v>506</v>
      </c>
      <c r="F203" s="79" t="s">
        <v>507</v>
      </c>
      <c r="G203" s="79" t="s">
        <v>525</v>
      </c>
      <c r="I203" s="79">
        <v>0</v>
      </c>
      <c r="M203" s="79">
        <v>59441.07</v>
      </c>
      <c r="N203" s="79">
        <v>62300.62</v>
      </c>
    </row>
    <row r="204" spans="2:14" x14ac:dyDescent="0.2">
      <c r="B204" s="79" t="s">
        <v>638</v>
      </c>
      <c r="C204" s="83">
        <v>45637</v>
      </c>
      <c r="D204" s="79" t="s">
        <v>529</v>
      </c>
      <c r="E204" s="79" t="s">
        <v>530</v>
      </c>
      <c r="F204" s="79" t="s">
        <v>531</v>
      </c>
      <c r="G204" s="79" t="s">
        <v>525</v>
      </c>
      <c r="H204" s="79">
        <v>66.63</v>
      </c>
      <c r="I204" s="79">
        <v>1</v>
      </c>
      <c r="M204" s="79">
        <v>-1351.85</v>
      </c>
      <c r="N204" s="79">
        <v>2859.55</v>
      </c>
    </row>
    <row r="205" spans="2:14" x14ac:dyDescent="0.2">
      <c r="B205" s="79" t="s">
        <v>638</v>
      </c>
      <c r="C205" s="83">
        <v>45637</v>
      </c>
      <c r="D205" s="79" t="s">
        <v>532</v>
      </c>
      <c r="E205" s="79" t="s">
        <v>530</v>
      </c>
      <c r="F205" s="79" t="s">
        <v>531</v>
      </c>
      <c r="G205" s="79" t="s">
        <v>525</v>
      </c>
      <c r="I205" s="79">
        <v>0</v>
      </c>
      <c r="M205" s="79">
        <v>1351.85</v>
      </c>
      <c r="N205" s="79">
        <v>4211.3999999999996</v>
      </c>
    </row>
    <row r="206" spans="2:14" x14ac:dyDescent="0.2">
      <c r="B206" s="79" t="s">
        <v>638</v>
      </c>
      <c r="C206" s="83">
        <v>45639</v>
      </c>
      <c r="D206" s="79" t="s">
        <v>572</v>
      </c>
      <c r="E206" s="79" t="s">
        <v>498</v>
      </c>
      <c r="F206" s="79" t="s">
        <v>499</v>
      </c>
      <c r="G206" s="79" t="s">
        <v>525</v>
      </c>
      <c r="H206" s="79">
        <v>35.03</v>
      </c>
      <c r="I206" s="79">
        <v>1</v>
      </c>
      <c r="M206" s="79">
        <v>-237.22</v>
      </c>
      <c r="N206" s="79">
        <v>2859.55</v>
      </c>
    </row>
    <row r="207" spans="2:14" x14ac:dyDescent="0.2">
      <c r="B207" s="79" t="s">
        <v>638</v>
      </c>
      <c r="C207" s="83">
        <v>45639</v>
      </c>
      <c r="D207" s="79" t="s">
        <v>573</v>
      </c>
      <c r="E207" s="79" t="s">
        <v>498</v>
      </c>
      <c r="F207" s="79" t="s">
        <v>499</v>
      </c>
      <c r="G207" s="79" t="s">
        <v>525</v>
      </c>
      <c r="I207" s="79">
        <v>0</v>
      </c>
      <c r="M207" s="79">
        <v>237.22</v>
      </c>
      <c r="N207" s="79">
        <v>3096.77</v>
      </c>
    </row>
    <row r="208" spans="2:14" x14ac:dyDescent="0.2">
      <c r="B208" s="79" t="s">
        <v>638</v>
      </c>
      <c r="C208" s="83">
        <v>45639</v>
      </c>
      <c r="D208" s="79" t="s">
        <v>535</v>
      </c>
      <c r="E208" s="79" t="s">
        <v>500</v>
      </c>
      <c r="F208" s="79" t="s">
        <v>501</v>
      </c>
      <c r="G208" s="79" t="s">
        <v>525</v>
      </c>
      <c r="H208" s="79">
        <v>39.53</v>
      </c>
      <c r="I208" s="79">
        <v>1</v>
      </c>
      <c r="M208" s="79">
        <v>-263.91000000000003</v>
      </c>
      <c r="N208" s="79">
        <v>2859.55</v>
      </c>
    </row>
    <row r="209" spans="2:15" x14ac:dyDescent="0.2">
      <c r="B209" s="79" t="s">
        <v>638</v>
      </c>
      <c r="C209" s="83">
        <v>45639</v>
      </c>
      <c r="D209" s="79" t="s">
        <v>536</v>
      </c>
      <c r="E209" s="79" t="s">
        <v>500</v>
      </c>
      <c r="F209" s="79" t="s">
        <v>501</v>
      </c>
      <c r="G209" s="79" t="s">
        <v>525</v>
      </c>
      <c r="I209" s="79">
        <v>0</v>
      </c>
      <c r="M209" s="79">
        <v>263.91000000000003</v>
      </c>
      <c r="N209" s="79">
        <v>3123.46</v>
      </c>
    </row>
    <row r="210" spans="2:15" x14ac:dyDescent="0.2">
      <c r="B210" s="79" t="s">
        <v>638</v>
      </c>
      <c r="C210" s="83">
        <v>45642</v>
      </c>
      <c r="D210" s="79" t="s">
        <v>527</v>
      </c>
      <c r="E210" s="79" t="s">
        <v>539</v>
      </c>
      <c r="F210" s="79" t="s">
        <v>528</v>
      </c>
      <c r="G210" s="79" t="s">
        <v>525</v>
      </c>
      <c r="I210" s="79">
        <v>0</v>
      </c>
      <c r="M210" s="79">
        <v>2851.66</v>
      </c>
      <c r="N210" s="79">
        <v>5711.21</v>
      </c>
    </row>
    <row r="211" spans="2:15" x14ac:dyDescent="0.2">
      <c r="B211" s="79" t="s">
        <v>638</v>
      </c>
      <c r="C211" s="83">
        <v>45644</v>
      </c>
      <c r="D211" s="79" t="s">
        <v>533</v>
      </c>
      <c r="E211" s="79" t="s">
        <v>496</v>
      </c>
      <c r="F211" s="79" t="s">
        <v>497</v>
      </c>
      <c r="G211" s="79" t="s">
        <v>525</v>
      </c>
      <c r="H211" s="79">
        <v>7.11</v>
      </c>
      <c r="I211" s="79">
        <v>1</v>
      </c>
      <c r="M211" s="79">
        <v>-50.28</v>
      </c>
      <c r="N211" s="79">
        <v>5711.21</v>
      </c>
    </row>
    <row r="212" spans="2:15" x14ac:dyDescent="0.2">
      <c r="B212" s="79" t="s">
        <v>638</v>
      </c>
      <c r="C212" s="83">
        <v>45644</v>
      </c>
      <c r="D212" s="79" t="s">
        <v>534</v>
      </c>
      <c r="E212" s="79" t="s">
        <v>496</v>
      </c>
      <c r="F212" s="79" t="s">
        <v>497</v>
      </c>
      <c r="G212" s="79" t="s">
        <v>525</v>
      </c>
      <c r="I212" s="79">
        <v>0</v>
      </c>
      <c r="M212" s="79">
        <v>50.28</v>
      </c>
      <c r="N212" s="79">
        <v>5761.49</v>
      </c>
    </row>
    <row r="213" spans="2:15" x14ac:dyDescent="0.2">
      <c r="B213" s="79" t="s">
        <v>638</v>
      </c>
      <c r="C213" s="83">
        <v>45649</v>
      </c>
      <c r="D213" s="79" t="s">
        <v>570</v>
      </c>
      <c r="E213" s="79" t="s">
        <v>537</v>
      </c>
      <c r="F213" s="79" t="s">
        <v>538</v>
      </c>
      <c r="G213" s="79" t="s">
        <v>525</v>
      </c>
      <c r="H213" s="79">
        <v>15.29</v>
      </c>
      <c r="I213" s="79">
        <v>1</v>
      </c>
      <c r="M213" s="79">
        <v>-1492.83</v>
      </c>
      <c r="N213" s="79">
        <v>5711.21</v>
      </c>
    </row>
    <row r="214" spans="2:15" x14ac:dyDescent="0.2">
      <c r="B214" s="79" t="s">
        <v>638</v>
      </c>
      <c r="C214" s="83">
        <v>45649</v>
      </c>
      <c r="D214" s="79" t="s">
        <v>571</v>
      </c>
      <c r="E214" s="79" t="s">
        <v>537</v>
      </c>
      <c r="F214" s="79" t="s">
        <v>538</v>
      </c>
      <c r="G214" s="79" t="s">
        <v>525</v>
      </c>
      <c r="I214" s="79">
        <v>0</v>
      </c>
      <c r="M214" s="79">
        <v>1492.83</v>
      </c>
      <c r="N214" s="79">
        <v>7204.04</v>
      </c>
    </row>
    <row r="215" spans="2:15" x14ac:dyDescent="0.2">
      <c r="B215" s="79" t="s">
        <v>638</v>
      </c>
      <c r="C215" s="83">
        <v>45650</v>
      </c>
      <c r="D215" s="79" t="s">
        <v>568</v>
      </c>
      <c r="E215" s="79" t="s">
        <v>488</v>
      </c>
      <c r="F215" s="79" t="s">
        <v>510</v>
      </c>
      <c r="G215" s="79" t="s">
        <v>525</v>
      </c>
      <c r="H215" s="79">
        <v>125.9</v>
      </c>
      <c r="I215" s="79">
        <v>1</v>
      </c>
      <c r="M215" s="79">
        <v>-714.86</v>
      </c>
      <c r="N215" s="79">
        <v>5711.21</v>
      </c>
    </row>
    <row r="216" spans="2:15" x14ac:dyDescent="0.2">
      <c r="B216" s="79" t="s">
        <v>638</v>
      </c>
      <c r="C216" s="83">
        <v>45650</v>
      </c>
      <c r="D216" s="79" t="s">
        <v>569</v>
      </c>
      <c r="E216" s="79" t="s">
        <v>488</v>
      </c>
      <c r="F216" s="79" t="s">
        <v>510</v>
      </c>
      <c r="G216" s="79" t="s">
        <v>525</v>
      </c>
      <c r="I216" s="79">
        <v>0</v>
      </c>
      <c r="M216" s="79">
        <v>714.86</v>
      </c>
      <c r="N216" s="79">
        <v>6426.07</v>
      </c>
    </row>
    <row r="217" spans="2:15" x14ac:dyDescent="0.2">
      <c r="B217" s="79" t="s">
        <v>638</v>
      </c>
      <c r="C217" s="83">
        <v>45657</v>
      </c>
      <c r="D217" s="79" t="s">
        <v>533</v>
      </c>
      <c r="E217" s="79" t="s">
        <v>496</v>
      </c>
      <c r="F217" s="79" t="s">
        <v>497</v>
      </c>
      <c r="G217" s="79" t="s">
        <v>525</v>
      </c>
      <c r="H217" s="79">
        <v>7.08</v>
      </c>
      <c r="I217" s="79">
        <v>1</v>
      </c>
      <c r="M217" s="79">
        <v>-234.66</v>
      </c>
      <c r="N217" s="79">
        <v>5726.34</v>
      </c>
    </row>
    <row r="218" spans="2:15" x14ac:dyDescent="0.2">
      <c r="B218" s="79" t="s">
        <v>638</v>
      </c>
      <c r="C218" s="83">
        <v>45657</v>
      </c>
      <c r="D218" s="79" t="s">
        <v>534</v>
      </c>
      <c r="E218" s="79" t="s">
        <v>496</v>
      </c>
      <c r="F218" s="79" t="s">
        <v>497</v>
      </c>
      <c r="G218" s="79" t="s">
        <v>525</v>
      </c>
      <c r="I218" s="79">
        <v>0</v>
      </c>
      <c r="M218" s="79">
        <v>234.66</v>
      </c>
      <c r="N218" s="79">
        <v>5961</v>
      </c>
    </row>
    <row r="219" spans="2:15" x14ac:dyDescent="0.2">
      <c r="B219" s="79" t="s">
        <v>638</v>
      </c>
      <c r="C219" s="83">
        <v>45657</v>
      </c>
      <c r="D219" s="79" t="s">
        <v>522</v>
      </c>
      <c r="E219" s="79" t="s">
        <v>523</v>
      </c>
      <c r="F219" s="79" t="s">
        <v>524</v>
      </c>
      <c r="G219" s="79" t="s">
        <v>525</v>
      </c>
      <c r="H219" s="79">
        <v>1</v>
      </c>
      <c r="I219" s="79">
        <v>1</v>
      </c>
      <c r="M219" s="79">
        <v>-15.13</v>
      </c>
      <c r="N219" s="79">
        <v>5726.34</v>
      </c>
    </row>
    <row r="220" spans="2:15" x14ac:dyDescent="0.2">
      <c r="B220" s="79" t="s">
        <v>638</v>
      </c>
      <c r="C220" s="83">
        <v>45657</v>
      </c>
      <c r="D220" s="79" t="s">
        <v>526</v>
      </c>
      <c r="E220" s="79" t="s">
        <v>523</v>
      </c>
      <c r="F220" s="79" t="s">
        <v>524</v>
      </c>
      <c r="G220" s="79" t="s">
        <v>525</v>
      </c>
      <c r="I220" s="79">
        <v>0</v>
      </c>
      <c r="M220" s="79">
        <v>15.13</v>
      </c>
      <c r="N220" s="79">
        <v>5726.34</v>
      </c>
    </row>
    <row r="221" spans="2:15" x14ac:dyDescent="0.2">
      <c r="B221" s="79" t="s">
        <v>638</v>
      </c>
      <c r="C221" s="83">
        <v>45659</v>
      </c>
      <c r="D221" s="79" t="s">
        <v>633</v>
      </c>
      <c r="E221" s="79" t="s">
        <v>452</v>
      </c>
      <c r="F221" s="79" t="s">
        <v>616</v>
      </c>
      <c r="G221" s="79" t="s">
        <v>525</v>
      </c>
      <c r="H221" s="79">
        <v>37.229999999999997</v>
      </c>
      <c r="I221" s="79">
        <v>1</v>
      </c>
      <c r="M221" s="79">
        <v>-5726</v>
      </c>
      <c r="N221" s="79">
        <v>0.34</v>
      </c>
      <c r="O221" s="83">
        <v>45660</v>
      </c>
    </row>
    <row r="222" spans="2:15" x14ac:dyDescent="0.2">
      <c r="B222" s="79" t="s">
        <v>638</v>
      </c>
      <c r="C222" s="83">
        <v>45673</v>
      </c>
      <c r="D222" s="79" t="s">
        <v>527</v>
      </c>
      <c r="E222" s="79" t="s">
        <v>539</v>
      </c>
      <c r="F222" s="79" t="s">
        <v>528</v>
      </c>
      <c r="G222" s="79" t="s">
        <v>525</v>
      </c>
      <c r="I222" s="79">
        <v>0</v>
      </c>
      <c r="M222" s="79">
        <v>355.01</v>
      </c>
      <c r="N222" s="79">
        <v>355.35</v>
      </c>
    </row>
    <row r="223" spans="2:15" x14ac:dyDescent="0.2">
      <c r="B223" s="79" t="s">
        <v>638</v>
      </c>
      <c r="C223" s="83">
        <v>45688</v>
      </c>
      <c r="D223" s="79" t="s">
        <v>533</v>
      </c>
      <c r="E223" s="79" t="s">
        <v>496</v>
      </c>
      <c r="F223" s="79" t="s">
        <v>497</v>
      </c>
      <c r="G223" s="79" t="s">
        <v>525</v>
      </c>
      <c r="H223" s="79">
        <v>7.1</v>
      </c>
      <c r="I223" s="79">
        <v>1</v>
      </c>
      <c r="M223" s="79">
        <v>-233.01</v>
      </c>
      <c r="N223" s="79">
        <v>357.25</v>
      </c>
    </row>
    <row r="224" spans="2:15" x14ac:dyDescent="0.2">
      <c r="B224" s="79" t="s">
        <v>638</v>
      </c>
      <c r="C224" s="83">
        <v>45688</v>
      </c>
      <c r="D224" s="79" t="s">
        <v>534</v>
      </c>
      <c r="E224" s="79" t="s">
        <v>496</v>
      </c>
      <c r="F224" s="79" t="s">
        <v>497</v>
      </c>
      <c r="G224" s="79" t="s">
        <v>525</v>
      </c>
      <c r="I224" s="79">
        <v>0</v>
      </c>
      <c r="M224" s="79">
        <v>233.01</v>
      </c>
      <c r="N224" s="79">
        <v>590.26</v>
      </c>
    </row>
    <row r="225" spans="2:15" x14ac:dyDescent="0.2">
      <c r="B225" s="79" t="s">
        <v>638</v>
      </c>
      <c r="C225" s="83">
        <v>45688</v>
      </c>
      <c r="D225" s="79" t="s">
        <v>522</v>
      </c>
      <c r="E225" s="79" t="s">
        <v>523</v>
      </c>
      <c r="F225" s="79" t="s">
        <v>524</v>
      </c>
      <c r="G225" s="79" t="s">
        <v>525</v>
      </c>
      <c r="H225" s="79">
        <v>1</v>
      </c>
      <c r="I225" s="79">
        <v>1</v>
      </c>
      <c r="M225" s="79">
        <v>-1.9</v>
      </c>
      <c r="N225" s="79">
        <v>357.25</v>
      </c>
    </row>
    <row r="226" spans="2:15" x14ac:dyDescent="0.2">
      <c r="B226" s="79" t="s">
        <v>638</v>
      </c>
      <c r="C226" s="83">
        <v>45688</v>
      </c>
      <c r="D226" s="79" t="s">
        <v>526</v>
      </c>
      <c r="E226" s="79" t="s">
        <v>523</v>
      </c>
      <c r="F226" s="79" t="s">
        <v>524</v>
      </c>
      <c r="G226" s="79" t="s">
        <v>525</v>
      </c>
      <c r="I226" s="79">
        <v>0</v>
      </c>
      <c r="M226" s="79">
        <v>1.9</v>
      </c>
      <c r="N226" s="79">
        <v>357.25</v>
      </c>
    </row>
    <row r="227" spans="2:15" x14ac:dyDescent="0.2">
      <c r="B227" s="79" t="s">
        <v>638</v>
      </c>
      <c r="C227" s="83">
        <v>45694</v>
      </c>
      <c r="D227" s="79" t="s">
        <v>540</v>
      </c>
      <c r="E227" s="79" t="s">
        <v>506</v>
      </c>
      <c r="F227" s="79" t="s">
        <v>507</v>
      </c>
      <c r="G227" s="79" t="s">
        <v>525</v>
      </c>
      <c r="H227" s="79">
        <v>63.45</v>
      </c>
      <c r="I227" s="79">
        <v>1</v>
      </c>
      <c r="M227" s="79">
        <v>-357</v>
      </c>
      <c r="N227" s="79">
        <v>0.25</v>
      </c>
      <c r="O227" s="83">
        <v>45695</v>
      </c>
    </row>
    <row r="228" spans="2:15" x14ac:dyDescent="0.2">
      <c r="B228" s="79" t="s">
        <v>638</v>
      </c>
      <c r="C228" s="83">
        <v>45716</v>
      </c>
      <c r="D228" s="79" t="s">
        <v>533</v>
      </c>
      <c r="E228" s="79" t="s">
        <v>496</v>
      </c>
      <c r="F228" s="79" t="s">
        <v>497</v>
      </c>
      <c r="G228" s="79" t="s">
        <v>525</v>
      </c>
      <c r="H228" s="79">
        <v>7.24</v>
      </c>
      <c r="I228" s="79">
        <v>1</v>
      </c>
      <c r="M228" s="79">
        <v>-216.57</v>
      </c>
      <c r="N228" s="79">
        <v>0.49</v>
      </c>
    </row>
    <row r="229" spans="2:15" x14ac:dyDescent="0.2">
      <c r="B229" s="79" t="s">
        <v>638</v>
      </c>
      <c r="C229" s="83">
        <v>45716</v>
      </c>
      <c r="D229" s="79" t="s">
        <v>534</v>
      </c>
      <c r="E229" s="79" t="s">
        <v>496</v>
      </c>
      <c r="F229" s="79" t="s">
        <v>497</v>
      </c>
      <c r="G229" s="79" t="s">
        <v>525</v>
      </c>
      <c r="I229" s="79">
        <v>0</v>
      </c>
      <c r="M229" s="79">
        <v>216.57</v>
      </c>
      <c r="N229" s="79">
        <v>217.06</v>
      </c>
    </row>
    <row r="230" spans="2:15" x14ac:dyDescent="0.2">
      <c r="B230" s="79" t="s">
        <v>638</v>
      </c>
      <c r="C230" s="83">
        <v>45716</v>
      </c>
      <c r="D230" s="79" t="s">
        <v>522</v>
      </c>
      <c r="E230" s="79" t="s">
        <v>523</v>
      </c>
      <c r="F230" s="79" t="s">
        <v>524</v>
      </c>
      <c r="G230" s="79" t="s">
        <v>525</v>
      </c>
      <c r="H230" s="79">
        <v>1</v>
      </c>
      <c r="I230" s="79">
        <v>1</v>
      </c>
      <c r="M230" s="79">
        <v>-0.24</v>
      </c>
      <c r="N230" s="79">
        <v>0.49</v>
      </c>
    </row>
    <row r="231" spans="2:15" x14ac:dyDescent="0.2">
      <c r="B231" s="79" t="s">
        <v>638</v>
      </c>
      <c r="C231" s="83">
        <v>45716</v>
      </c>
      <c r="D231" s="79" t="s">
        <v>526</v>
      </c>
      <c r="E231" s="79" t="s">
        <v>523</v>
      </c>
      <c r="F231" s="79" t="s">
        <v>524</v>
      </c>
      <c r="G231" s="79" t="s">
        <v>525</v>
      </c>
      <c r="I231" s="79">
        <v>0</v>
      </c>
      <c r="M231" s="79">
        <v>0.24</v>
      </c>
      <c r="N231" s="79">
        <v>0.49</v>
      </c>
    </row>
    <row r="232" spans="2:15" x14ac:dyDescent="0.2">
      <c r="B232" s="79" t="s">
        <v>638</v>
      </c>
      <c r="C232" s="83">
        <v>45740</v>
      </c>
      <c r="D232" s="79" t="s">
        <v>631</v>
      </c>
      <c r="E232" s="79" t="s">
        <v>537</v>
      </c>
      <c r="F232" s="79" t="s">
        <v>538</v>
      </c>
      <c r="G232" s="79" t="s">
        <v>525</v>
      </c>
      <c r="H232" s="79">
        <v>16.73</v>
      </c>
      <c r="I232" s="79">
        <v>1</v>
      </c>
      <c r="M232" s="79">
        <v>-511.68</v>
      </c>
      <c r="N232" s="79">
        <v>0.49</v>
      </c>
    </row>
    <row r="233" spans="2:15" x14ac:dyDescent="0.2">
      <c r="B233" s="79" t="s">
        <v>638</v>
      </c>
      <c r="C233" s="83">
        <v>45740</v>
      </c>
      <c r="D233" s="79" t="s">
        <v>632</v>
      </c>
      <c r="E233" s="79" t="s">
        <v>537</v>
      </c>
      <c r="F233" s="79" t="s">
        <v>538</v>
      </c>
      <c r="G233" s="79" t="s">
        <v>525</v>
      </c>
      <c r="I233" s="79">
        <v>0</v>
      </c>
      <c r="M233" s="79">
        <v>511.68</v>
      </c>
      <c r="N233" s="79">
        <v>512.16999999999996</v>
      </c>
    </row>
    <row r="234" spans="2:15" x14ac:dyDescent="0.2">
      <c r="B234" s="79" t="s">
        <v>638</v>
      </c>
      <c r="C234" s="83">
        <v>45742</v>
      </c>
      <c r="D234" s="79" t="s">
        <v>629</v>
      </c>
      <c r="E234" s="79" t="s">
        <v>488</v>
      </c>
      <c r="F234" s="79" t="s">
        <v>510</v>
      </c>
      <c r="G234" s="79" t="s">
        <v>525</v>
      </c>
      <c r="H234" s="79">
        <v>127.13</v>
      </c>
      <c r="I234" s="79">
        <v>1</v>
      </c>
      <c r="M234" s="79">
        <v>-786.03</v>
      </c>
      <c r="N234" s="79">
        <v>0.49</v>
      </c>
    </row>
    <row r="235" spans="2:15" x14ac:dyDescent="0.2">
      <c r="B235" s="79" t="s">
        <v>638</v>
      </c>
      <c r="C235" s="83">
        <v>45742</v>
      </c>
      <c r="D235" s="79" t="s">
        <v>630</v>
      </c>
      <c r="E235" s="79" t="s">
        <v>488</v>
      </c>
      <c r="F235" s="79" t="s">
        <v>510</v>
      </c>
      <c r="G235" s="79" t="s">
        <v>525</v>
      </c>
      <c r="I235" s="79">
        <v>0</v>
      </c>
      <c r="M235" s="79">
        <v>786.03</v>
      </c>
      <c r="N235" s="79">
        <v>786.52</v>
      </c>
    </row>
    <row r="236" spans="2:15" x14ac:dyDescent="0.2">
      <c r="B236" s="79" t="s">
        <v>638</v>
      </c>
      <c r="C236" s="83">
        <v>45747</v>
      </c>
      <c r="D236" s="79" t="s">
        <v>533</v>
      </c>
      <c r="E236" s="79" t="s">
        <v>496</v>
      </c>
      <c r="F236" s="79" t="s">
        <v>497</v>
      </c>
      <c r="G236" s="79" t="s">
        <v>525</v>
      </c>
      <c r="H236" s="79">
        <v>7.22</v>
      </c>
      <c r="I236" s="79">
        <v>1</v>
      </c>
      <c r="M236" s="79">
        <v>-239.72</v>
      </c>
      <c r="N236" s="79">
        <v>0.49</v>
      </c>
    </row>
    <row r="237" spans="2:15" x14ac:dyDescent="0.2">
      <c r="B237" s="79" t="s">
        <v>638</v>
      </c>
      <c r="C237" s="83">
        <v>45747</v>
      </c>
      <c r="D237" s="79" t="s">
        <v>534</v>
      </c>
      <c r="E237" s="79" t="s">
        <v>496</v>
      </c>
      <c r="F237" s="79" t="s">
        <v>497</v>
      </c>
      <c r="G237" s="79" t="s">
        <v>525</v>
      </c>
      <c r="I237" s="79">
        <v>0</v>
      </c>
      <c r="M237" s="79">
        <v>239.72</v>
      </c>
      <c r="N237" s="79">
        <v>240.21</v>
      </c>
    </row>
    <row r="238" spans="2:15" x14ac:dyDescent="0.2">
      <c r="B238" s="79" t="s">
        <v>638</v>
      </c>
      <c r="C238" s="83">
        <v>45777</v>
      </c>
      <c r="D238" s="79" t="s">
        <v>533</v>
      </c>
      <c r="E238" s="79" t="s">
        <v>496</v>
      </c>
      <c r="F238" s="79" t="s">
        <v>497</v>
      </c>
      <c r="G238" s="79" t="s">
        <v>525</v>
      </c>
      <c r="H238" s="79">
        <v>7.23</v>
      </c>
      <c r="I238" s="79">
        <v>1</v>
      </c>
      <c r="M238" s="79">
        <v>-235.96</v>
      </c>
      <c r="N238" s="79">
        <v>0.49</v>
      </c>
    </row>
    <row r="239" spans="2:15" x14ac:dyDescent="0.2">
      <c r="B239" s="79" t="s">
        <v>638</v>
      </c>
      <c r="C239" s="83">
        <v>45777</v>
      </c>
      <c r="D239" s="79" t="s">
        <v>534</v>
      </c>
      <c r="E239" s="79" t="s">
        <v>496</v>
      </c>
      <c r="F239" s="79" t="s">
        <v>497</v>
      </c>
      <c r="G239" s="79" t="s">
        <v>525</v>
      </c>
      <c r="I239" s="79">
        <v>0</v>
      </c>
      <c r="M239" s="79">
        <v>235.96</v>
      </c>
      <c r="N239" s="79">
        <v>236.45</v>
      </c>
    </row>
    <row r="240" spans="2:15" x14ac:dyDescent="0.2">
      <c r="B240" s="79" t="s">
        <v>638</v>
      </c>
      <c r="C240" s="83">
        <v>45807</v>
      </c>
      <c r="D240" s="79" t="s">
        <v>533</v>
      </c>
      <c r="E240" s="79" t="s">
        <v>496</v>
      </c>
      <c r="F240" s="79" t="s">
        <v>497</v>
      </c>
      <c r="G240" s="79" t="s">
        <v>525</v>
      </c>
      <c r="H240" s="79">
        <v>7.16</v>
      </c>
      <c r="I240" s="79">
        <v>1</v>
      </c>
      <c r="M240" s="79">
        <v>-245.46</v>
      </c>
      <c r="N240" s="79">
        <v>0.49</v>
      </c>
    </row>
    <row r="241" spans="2:14" x14ac:dyDescent="0.2">
      <c r="B241" s="79" t="s">
        <v>638</v>
      </c>
      <c r="C241" s="83">
        <v>45807</v>
      </c>
      <c r="D241" s="79" t="s">
        <v>534</v>
      </c>
      <c r="E241" s="79" t="s">
        <v>496</v>
      </c>
      <c r="F241" s="79" t="s">
        <v>497</v>
      </c>
      <c r="G241" s="79" t="s">
        <v>525</v>
      </c>
      <c r="I241" s="79">
        <v>0</v>
      </c>
      <c r="M241" s="79">
        <v>245.46</v>
      </c>
      <c r="N241" s="79">
        <v>245.95</v>
      </c>
    </row>
    <row r="242" spans="2:14" x14ac:dyDescent="0.2">
      <c r="B242" s="79" t="s">
        <v>638</v>
      </c>
      <c r="C242" s="83">
        <v>45831</v>
      </c>
      <c r="D242" s="79" t="s">
        <v>627</v>
      </c>
      <c r="E242" s="79" t="s">
        <v>537</v>
      </c>
      <c r="F242" s="79" t="s">
        <v>538</v>
      </c>
      <c r="G242" s="79" t="s">
        <v>525</v>
      </c>
      <c r="H242" s="79">
        <v>17.670000000000002</v>
      </c>
      <c r="I242" s="79">
        <v>1</v>
      </c>
      <c r="M242" s="79">
        <v>-938.73</v>
      </c>
      <c r="N242" s="79">
        <v>0.49</v>
      </c>
    </row>
    <row r="243" spans="2:14" x14ac:dyDescent="0.2">
      <c r="B243" s="79" t="s">
        <v>638</v>
      </c>
      <c r="C243" s="83">
        <v>45831</v>
      </c>
      <c r="D243" s="79" t="s">
        <v>628</v>
      </c>
      <c r="E243" s="79" t="s">
        <v>537</v>
      </c>
      <c r="F243" s="79" t="s">
        <v>538</v>
      </c>
      <c r="G243" s="79" t="s">
        <v>525</v>
      </c>
      <c r="I243" s="79">
        <v>0</v>
      </c>
      <c r="M243" s="79">
        <v>938.73</v>
      </c>
      <c r="N243" s="79">
        <v>939.22</v>
      </c>
    </row>
    <row r="244" spans="2:14" x14ac:dyDescent="0.2">
      <c r="B244" s="79" t="s">
        <v>638</v>
      </c>
      <c r="C244" s="83">
        <v>45835</v>
      </c>
      <c r="D244" s="79" t="s">
        <v>625</v>
      </c>
      <c r="E244" s="79" t="s">
        <v>488</v>
      </c>
      <c r="F244" s="79" t="s">
        <v>510</v>
      </c>
      <c r="G244" s="79" t="s">
        <v>525</v>
      </c>
      <c r="H244" s="79">
        <v>125.06</v>
      </c>
      <c r="I244" s="79">
        <v>1</v>
      </c>
      <c r="M244" s="79">
        <v>-739.65</v>
      </c>
      <c r="N244" s="79">
        <v>0.49</v>
      </c>
    </row>
    <row r="245" spans="2:14" x14ac:dyDescent="0.2">
      <c r="B245" s="79" t="s">
        <v>638</v>
      </c>
      <c r="C245" s="83">
        <v>45835</v>
      </c>
      <c r="D245" s="79" t="s">
        <v>626</v>
      </c>
      <c r="E245" s="79" t="s">
        <v>488</v>
      </c>
      <c r="F245" s="79" t="s">
        <v>510</v>
      </c>
      <c r="G245" s="79" t="s">
        <v>525</v>
      </c>
      <c r="I245" s="79">
        <v>0</v>
      </c>
      <c r="M245" s="79">
        <v>739.65</v>
      </c>
      <c r="N245" s="79">
        <v>740.14</v>
      </c>
    </row>
    <row r="246" spans="2:14" x14ac:dyDescent="0.2">
      <c r="B246" s="79" t="s">
        <v>638</v>
      </c>
      <c r="C246" s="83">
        <v>45838</v>
      </c>
      <c r="D246" s="79" t="s">
        <v>533</v>
      </c>
      <c r="E246" s="79" t="s">
        <v>496</v>
      </c>
      <c r="F246" s="79" t="s">
        <v>497</v>
      </c>
      <c r="G246" s="79" t="s">
        <v>525</v>
      </c>
      <c r="H246" s="79">
        <v>7.25</v>
      </c>
      <c r="I246" s="79">
        <v>1</v>
      </c>
      <c r="M246" s="79">
        <v>-239.62</v>
      </c>
      <c r="N246" s="79">
        <v>0.49</v>
      </c>
    </row>
    <row r="247" spans="2:14" x14ac:dyDescent="0.2">
      <c r="B247" s="79" t="s">
        <v>638</v>
      </c>
      <c r="C247" s="83">
        <v>45838</v>
      </c>
      <c r="D247" s="79" t="s">
        <v>534</v>
      </c>
      <c r="E247" s="79" t="s">
        <v>496</v>
      </c>
      <c r="F247" s="79" t="s">
        <v>497</v>
      </c>
      <c r="G247" s="79" t="s">
        <v>525</v>
      </c>
      <c r="I247" s="79">
        <v>0</v>
      </c>
      <c r="M247" s="79">
        <v>239.62</v>
      </c>
      <c r="N247" s="79">
        <v>240.11</v>
      </c>
    </row>
    <row r="248" spans="2:14" x14ac:dyDescent="0.2">
      <c r="B248" s="79" t="s">
        <v>638</v>
      </c>
      <c r="C248" s="83">
        <v>45856</v>
      </c>
      <c r="D248" s="79" t="s">
        <v>529</v>
      </c>
      <c r="E248" s="79" t="s">
        <v>530</v>
      </c>
      <c r="F248" s="79" t="s">
        <v>531</v>
      </c>
      <c r="G248" s="79" t="s">
        <v>525</v>
      </c>
      <c r="H248" s="79">
        <v>68.98</v>
      </c>
      <c r="I248" s="79">
        <v>1</v>
      </c>
      <c r="M248" s="79">
        <v>-2172.31</v>
      </c>
      <c r="N248" s="79">
        <v>0.49</v>
      </c>
    </row>
    <row r="249" spans="2:14" x14ac:dyDescent="0.2">
      <c r="B249" s="79" t="s">
        <v>638</v>
      </c>
      <c r="C249" s="83">
        <v>45856</v>
      </c>
      <c r="D249" s="79" t="s">
        <v>623</v>
      </c>
      <c r="E249" s="79" t="s">
        <v>545</v>
      </c>
      <c r="F249" s="79" t="s">
        <v>546</v>
      </c>
      <c r="G249" s="79" t="s">
        <v>525</v>
      </c>
      <c r="H249" s="79">
        <v>36.25</v>
      </c>
      <c r="I249" s="79">
        <v>1</v>
      </c>
      <c r="M249" s="79">
        <v>-4277.32</v>
      </c>
      <c r="N249" s="79">
        <v>2172.8000000000002</v>
      </c>
    </row>
    <row r="250" spans="2:14" x14ac:dyDescent="0.2">
      <c r="B250" s="79" t="s">
        <v>638</v>
      </c>
      <c r="C250" s="83">
        <v>45856</v>
      </c>
      <c r="D250" s="79" t="s">
        <v>532</v>
      </c>
      <c r="E250" s="79" t="s">
        <v>530</v>
      </c>
      <c r="F250" s="79" t="s">
        <v>531</v>
      </c>
      <c r="G250" s="79" t="s">
        <v>525</v>
      </c>
      <c r="I250" s="79">
        <v>0</v>
      </c>
      <c r="M250" s="79">
        <v>2172.31</v>
      </c>
      <c r="N250" s="79">
        <v>6450.12</v>
      </c>
    </row>
    <row r="251" spans="2:14" x14ac:dyDescent="0.2">
      <c r="B251" s="79" t="s">
        <v>638</v>
      </c>
      <c r="C251" s="83">
        <v>45856</v>
      </c>
      <c r="D251" s="79" t="s">
        <v>624</v>
      </c>
      <c r="E251" s="79" t="s">
        <v>545</v>
      </c>
      <c r="F251" s="79" t="s">
        <v>546</v>
      </c>
      <c r="G251" s="79" t="s">
        <v>525</v>
      </c>
      <c r="I251" s="79">
        <v>0</v>
      </c>
      <c r="M251" s="79">
        <v>4277.32</v>
      </c>
      <c r="N251" s="79">
        <v>4277.8100000000004</v>
      </c>
    </row>
    <row r="252" spans="2:14" x14ac:dyDescent="0.2">
      <c r="B252" s="79" t="s">
        <v>638</v>
      </c>
      <c r="C252" s="83">
        <v>45869</v>
      </c>
      <c r="D252" s="79" t="s">
        <v>533</v>
      </c>
      <c r="E252" s="79" t="s">
        <v>496</v>
      </c>
      <c r="F252" s="79" t="s">
        <v>497</v>
      </c>
      <c r="G252" s="79" t="s">
        <v>525</v>
      </c>
      <c r="H252" s="79">
        <v>7.21</v>
      </c>
      <c r="I252" s="79">
        <v>1</v>
      </c>
      <c r="M252" s="79">
        <v>-249.31</v>
      </c>
      <c r="N252" s="79">
        <v>0.49</v>
      </c>
    </row>
    <row r="253" spans="2:14" x14ac:dyDescent="0.2">
      <c r="B253" s="79" t="s">
        <v>638</v>
      </c>
      <c r="C253" s="83">
        <v>45869</v>
      </c>
      <c r="D253" s="79" t="s">
        <v>534</v>
      </c>
      <c r="E253" s="79" t="s">
        <v>496</v>
      </c>
      <c r="F253" s="79" t="s">
        <v>497</v>
      </c>
      <c r="G253" s="79" t="s">
        <v>525</v>
      </c>
      <c r="I253" s="79">
        <v>0</v>
      </c>
      <c r="M253" s="79">
        <v>249.31</v>
      </c>
      <c r="N253" s="79">
        <v>249.8</v>
      </c>
    </row>
    <row r="254" spans="2:14" x14ac:dyDescent="0.2">
      <c r="B254" s="79" t="s">
        <v>638</v>
      </c>
      <c r="C254" s="83">
        <v>45898</v>
      </c>
      <c r="D254" s="79" t="s">
        <v>533</v>
      </c>
      <c r="E254" s="79" t="s">
        <v>496</v>
      </c>
      <c r="F254" s="79" t="s">
        <v>497</v>
      </c>
      <c r="G254" s="79" t="s">
        <v>525</v>
      </c>
      <c r="H254" s="79">
        <v>7.27</v>
      </c>
      <c r="I254" s="79">
        <v>1</v>
      </c>
      <c r="M254" s="79">
        <v>-250.34</v>
      </c>
      <c r="N254" s="79">
        <v>0.49</v>
      </c>
    </row>
    <row r="255" spans="2:14" x14ac:dyDescent="0.2">
      <c r="B255" s="79" t="s">
        <v>638</v>
      </c>
      <c r="C255" s="83">
        <v>45898</v>
      </c>
      <c r="D255" s="79" t="s">
        <v>534</v>
      </c>
      <c r="E255" s="79" t="s">
        <v>496</v>
      </c>
      <c r="F255" s="79" t="s">
        <v>497</v>
      </c>
      <c r="G255" s="79" t="s">
        <v>525</v>
      </c>
      <c r="I255" s="79">
        <v>0</v>
      </c>
      <c r="M255" s="79">
        <v>250.34</v>
      </c>
      <c r="N255" s="79">
        <v>250.83</v>
      </c>
    </row>
    <row r="256" spans="2:14" x14ac:dyDescent="0.2">
      <c r="B256" s="79" t="s">
        <v>638</v>
      </c>
      <c r="C256" s="83">
        <v>45912</v>
      </c>
      <c r="D256" s="79" t="s">
        <v>572</v>
      </c>
      <c r="E256" s="79" t="s">
        <v>498</v>
      </c>
      <c r="F256" s="79" t="s">
        <v>499</v>
      </c>
      <c r="G256" s="79" t="s">
        <v>525</v>
      </c>
      <c r="H256" s="79">
        <v>33.9</v>
      </c>
      <c r="I256" s="79">
        <v>1</v>
      </c>
      <c r="M256" s="79">
        <v>-9376.68</v>
      </c>
      <c r="N256" s="79">
        <v>0.49</v>
      </c>
    </row>
    <row r="257" spans="2:15" x14ac:dyDescent="0.2">
      <c r="B257" s="79" t="s">
        <v>638</v>
      </c>
      <c r="C257" s="83">
        <v>45912</v>
      </c>
      <c r="D257" s="79" t="s">
        <v>581</v>
      </c>
      <c r="E257" s="79" t="s">
        <v>498</v>
      </c>
      <c r="F257" s="79" t="s">
        <v>499</v>
      </c>
      <c r="G257" s="79" t="s">
        <v>525</v>
      </c>
      <c r="I257" s="79">
        <v>0</v>
      </c>
      <c r="M257" s="79">
        <v>9376.68</v>
      </c>
      <c r="N257" s="79">
        <v>9377.17</v>
      </c>
    </row>
    <row r="258" spans="2:15" x14ac:dyDescent="0.2">
      <c r="B258" s="79" t="s">
        <v>638</v>
      </c>
      <c r="C258" s="83">
        <v>45922</v>
      </c>
      <c r="D258" s="79" t="s">
        <v>621</v>
      </c>
      <c r="E258" s="79" t="s">
        <v>537</v>
      </c>
      <c r="F258" s="79" t="s">
        <v>538</v>
      </c>
      <c r="G258" s="79" t="s">
        <v>525</v>
      </c>
      <c r="H258" s="79">
        <v>19.18</v>
      </c>
      <c r="I258" s="79">
        <v>1</v>
      </c>
      <c r="M258" s="79">
        <v>-612.21</v>
      </c>
      <c r="N258" s="79">
        <v>0.49</v>
      </c>
    </row>
    <row r="259" spans="2:15" x14ac:dyDescent="0.2">
      <c r="B259" s="79" t="s">
        <v>638</v>
      </c>
      <c r="C259" s="83">
        <v>45922</v>
      </c>
      <c r="D259" s="79" t="s">
        <v>622</v>
      </c>
      <c r="E259" s="79" t="s">
        <v>537</v>
      </c>
      <c r="F259" s="79" t="s">
        <v>538</v>
      </c>
      <c r="G259" s="79" t="s">
        <v>525</v>
      </c>
      <c r="I259" s="79">
        <v>0</v>
      </c>
      <c r="M259" s="79">
        <v>612.21</v>
      </c>
      <c r="N259" s="79">
        <v>612.70000000000005</v>
      </c>
    </row>
    <row r="260" spans="2:15" x14ac:dyDescent="0.2">
      <c r="B260" s="79" t="s">
        <v>638</v>
      </c>
      <c r="C260" s="83">
        <v>45925</v>
      </c>
      <c r="D260" s="79" t="s">
        <v>619</v>
      </c>
      <c r="E260" s="79" t="s">
        <v>488</v>
      </c>
      <c r="F260" s="79" t="s">
        <v>510</v>
      </c>
      <c r="G260" s="79" t="s">
        <v>525</v>
      </c>
      <c r="H260" s="79">
        <v>128.09</v>
      </c>
      <c r="I260" s="79">
        <v>1</v>
      </c>
      <c r="M260" s="79">
        <v>-750.08</v>
      </c>
      <c r="N260" s="79">
        <v>0.49</v>
      </c>
    </row>
    <row r="261" spans="2:15" x14ac:dyDescent="0.2">
      <c r="B261" s="79" t="s">
        <v>638</v>
      </c>
      <c r="C261" s="83">
        <v>45925</v>
      </c>
      <c r="D261" s="79" t="s">
        <v>620</v>
      </c>
      <c r="E261" s="79" t="s">
        <v>488</v>
      </c>
      <c r="F261" s="79" t="s">
        <v>510</v>
      </c>
      <c r="G261" s="79" t="s">
        <v>525</v>
      </c>
      <c r="I261" s="79">
        <v>0</v>
      </c>
      <c r="M261" s="79">
        <v>750.08</v>
      </c>
      <c r="N261" s="79">
        <v>750.57</v>
      </c>
    </row>
    <row r="262" spans="2:15" x14ac:dyDescent="0.2">
      <c r="B262" s="79" t="s">
        <v>638</v>
      </c>
      <c r="C262" s="83">
        <v>45930</v>
      </c>
      <c r="D262" s="79" t="s">
        <v>533</v>
      </c>
      <c r="E262" s="79" t="s">
        <v>496</v>
      </c>
      <c r="F262" s="79" t="s">
        <v>497</v>
      </c>
      <c r="G262" s="79" t="s">
        <v>525</v>
      </c>
      <c r="H262" s="79">
        <v>7.32</v>
      </c>
      <c r="I262" s="79">
        <v>1</v>
      </c>
      <c r="M262" s="79">
        <v>-241.43</v>
      </c>
      <c r="N262" s="79">
        <v>0.49</v>
      </c>
    </row>
    <row r="263" spans="2:15" x14ac:dyDescent="0.2">
      <c r="B263" s="79" t="s">
        <v>638</v>
      </c>
      <c r="C263" s="83">
        <v>45930</v>
      </c>
      <c r="D263" s="79" t="s">
        <v>534</v>
      </c>
      <c r="E263" s="79" t="s">
        <v>496</v>
      </c>
      <c r="F263" s="79" t="s">
        <v>497</v>
      </c>
      <c r="G263" s="79" t="s">
        <v>525</v>
      </c>
      <c r="I263" s="79">
        <v>0</v>
      </c>
      <c r="M263" s="79">
        <v>241.43</v>
      </c>
      <c r="N263" s="79">
        <v>241.92</v>
      </c>
    </row>
    <row r="264" spans="2:15" x14ac:dyDescent="0.2">
      <c r="B264" s="79" t="s">
        <v>638</v>
      </c>
      <c r="C264" s="83">
        <v>45943</v>
      </c>
      <c r="D264" s="79" t="s">
        <v>612</v>
      </c>
      <c r="E264" s="79" t="s">
        <v>537</v>
      </c>
      <c r="F264" s="79" t="s">
        <v>538</v>
      </c>
      <c r="G264" s="79" t="s">
        <v>525</v>
      </c>
      <c r="H264" s="79">
        <v>19.2</v>
      </c>
      <c r="I264" s="79">
        <v>-1</v>
      </c>
      <c r="M264" s="79">
        <v>129641.4</v>
      </c>
      <c r="N264" s="79">
        <v>809779.83</v>
      </c>
      <c r="O264" s="83">
        <v>45944</v>
      </c>
    </row>
    <row r="265" spans="2:15" x14ac:dyDescent="0.2">
      <c r="B265" s="79" t="s">
        <v>638</v>
      </c>
      <c r="C265" s="83">
        <v>45943</v>
      </c>
      <c r="D265" s="79" t="s">
        <v>613</v>
      </c>
      <c r="E265" s="79" t="s">
        <v>543</v>
      </c>
      <c r="F265" s="79" t="s">
        <v>544</v>
      </c>
      <c r="G265" s="79" t="s">
        <v>525</v>
      </c>
      <c r="H265" s="79">
        <v>18.66</v>
      </c>
      <c r="I265" s="79">
        <v>-1</v>
      </c>
      <c r="M265" s="79">
        <v>103199.15</v>
      </c>
      <c r="N265" s="79">
        <v>680138.43</v>
      </c>
      <c r="O265" s="83">
        <v>45944</v>
      </c>
    </row>
    <row r="266" spans="2:15" x14ac:dyDescent="0.2">
      <c r="B266" s="79" t="s">
        <v>638</v>
      </c>
      <c r="C266" s="83">
        <v>45943</v>
      </c>
      <c r="D266" s="79" t="s">
        <v>614</v>
      </c>
      <c r="E266" s="79" t="s">
        <v>506</v>
      </c>
      <c r="F266" s="79" t="s">
        <v>507</v>
      </c>
      <c r="G266" s="79" t="s">
        <v>525</v>
      </c>
      <c r="H266" s="79">
        <v>76.41</v>
      </c>
      <c r="I266" s="79">
        <v>-1</v>
      </c>
      <c r="M266" s="79">
        <v>435537</v>
      </c>
      <c r="N266" s="79">
        <v>576939.28</v>
      </c>
      <c r="O266" s="83">
        <v>45944</v>
      </c>
    </row>
    <row r="267" spans="2:15" x14ac:dyDescent="0.2">
      <c r="B267" s="79" t="s">
        <v>638</v>
      </c>
      <c r="C267" s="83">
        <v>45943</v>
      </c>
      <c r="D267" s="79" t="s">
        <v>615</v>
      </c>
      <c r="E267" s="79" t="s">
        <v>452</v>
      </c>
      <c r="F267" s="79" t="s">
        <v>616</v>
      </c>
      <c r="G267" s="79" t="s">
        <v>525</v>
      </c>
      <c r="H267" s="79">
        <v>39.869999999999997</v>
      </c>
      <c r="I267" s="79">
        <v>-1</v>
      </c>
      <c r="M267" s="79">
        <v>6132.05</v>
      </c>
      <c r="N267" s="79">
        <v>141402.28</v>
      </c>
      <c r="O267" s="83">
        <v>45944</v>
      </c>
    </row>
    <row r="268" spans="2:15" x14ac:dyDescent="0.2">
      <c r="B268" s="79" t="s">
        <v>638</v>
      </c>
      <c r="C268" s="83">
        <v>45943</v>
      </c>
      <c r="D268" s="79" t="s">
        <v>617</v>
      </c>
      <c r="E268" s="79" t="s">
        <v>530</v>
      </c>
      <c r="F268" s="79" t="s">
        <v>531</v>
      </c>
      <c r="G268" s="79" t="s">
        <v>525</v>
      </c>
      <c r="H268" s="79">
        <v>76.44</v>
      </c>
      <c r="I268" s="79">
        <v>-1</v>
      </c>
      <c r="M268" s="79">
        <v>40116.400000000001</v>
      </c>
      <c r="N268" s="79">
        <v>135270.23000000001</v>
      </c>
      <c r="O268" s="83">
        <v>45944</v>
      </c>
    </row>
    <row r="269" spans="2:15" x14ac:dyDescent="0.2">
      <c r="B269" s="79" t="s">
        <v>638</v>
      </c>
      <c r="C269" s="83">
        <v>45943</v>
      </c>
      <c r="D269" s="79" t="s">
        <v>618</v>
      </c>
      <c r="E269" s="79" t="s">
        <v>545</v>
      </c>
      <c r="F269" s="79" t="s">
        <v>546</v>
      </c>
      <c r="G269" s="79" t="s">
        <v>525</v>
      </c>
      <c r="H269" s="79">
        <v>36.450000000000003</v>
      </c>
      <c r="I269" s="79">
        <v>-1</v>
      </c>
      <c r="M269" s="79">
        <v>95153.34</v>
      </c>
      <c r="N269" s="79">
        <v>95153.83</v>
      </c>
      <c r="O269" s="83">
        <v>45944</v>
      </c>
    </row>
    <row r="270" spans="2:15" x14ac:dyDescent="0.2">
      <c r="B270" s="79" t="s">
        <v>638</v>
      </c>
      <c r="C270" s="83">
        <v>45946</v>
      </c>
      <c r="D270" s="79" t="s">
        <v>542</v>
      </c>
      <c r="E270" s="79" t="s">
        <v>496</v>
      </c>
      <c r="F270" s="79" t="s">
        <v>497</v>
      </c>
      <c r="G270" s="79" t="s">
        <v>525</v>
      </c>
      <c r="H270" s="79">
        <v>7.39</v>
      </c>
      <c r="I270" s="79">
        <v>1</v>
      </c>
      <c r="M270" s="79">
        <v>-200000</v>
      </c>
      <c r="N270" s="79">
        <v>109779.83</v>
      </c>
      <c r="O270" s="83">
        <v>45947</v>
      </c>
    </row>
    <row r="271" spans="2:15" x14ac:dyDescent="0.2">
      <c r="B271" s="79" t="s">
        <v>638</v>
      </c>
      <c r="C271" s="83">
        <v>45946</v>
      </c>
      <c r="D271" s="79" t="s">
        <v>610</v>
      </c>
      <c r="E271" s="79" t="s">
        <v>504</v>
      </c>
      <c r="F271" s="79" t="s">
        <v>505</v>
      </c>
      <c r="G271" s="79" t="s">
        <v>525</v>
      </c>
      <c r="H271" s="79">
        <v>14.61</v>
      </c>
      <c r="I271" s="79">
        <v>1</v>
      </c>
      <c r="M271" s="79">
        <v>-250000</v>
      </c>
      <c r="N271" s="79">
        <v>309779.83</v>
      </c>
      <c r="O271" s="83">
        <v>45947</v>
      </c>
    </row>
    <row r="272" spans="2:15" x14ac:dyDescent="0.2">
      <c r="B272" s="79" t="s">
        <v>638</v>
      </c>
      <c r="C272" s="83">
        <v>45946</v>
      </c>
      <c r="D272" s="79" t="s">
        <v>611</v>
      </c>
      <c r="E272" s="79" t="s">
        <v>502</v>
      </c>
      <c r="F272" s="79" t="s">
        <v>503</v>
      </c>
      <c r="G272" s="79" t="s">
        <v>525</v>
      </c>
      <c r="H272" s="79">
        <v>47.56</v>
      </c>
      <c r="I272" s="79">
        <v>1</v>
      </c>
      <c r="M272" s="79">
        <v>-250000</v>
      </c>
      <c r="N272" s="79">
        <v>559779.82999999996</v>
      </c>
      <c r="O272" s="83">
        <v>45947</v>
      </c>
    </row>
    <row r="273" spans="2:15" x14ac:dyDescent="0.2">
      <c r="B273" s="79" t="s">
        <v>638</v>
      </c>
      <c r="C273" s="83">
        <v>45951</v>
      </c>
      <c r="D273" s="79" t="s">
        <v>608</v>
      </c>
      <c r="E273" s="79" t="s">
        <v>498</v>
      </c>
      <c r="F273" s="79" t="s">
        <v>499</v>
      </c>
      <c r="G273" s="79" t="s">
        <v>525</v>
      </c>
      <c r="H273" s="79">
        <v>35.450000000000003</v>
      </c>
      <c r="I273" s="79">
        <v>-1</v>
      </c>
      <c r="M273" s="79">
        <v>50000</v>
      </c>
      <c r="N273" s="79">
        <v>209779.83</v>
      </c>
      <c r="O273" s="83">
        <v>45952</v>
      </c>
    </row>
    <row r="274" spans="2:15" x14ac:dyDescent="0.2">
      <c r="B274" s="79" t="s">
        <v>638</v>
      </c>
      <c r="C274" s="83">
        <v>45951</v>
      </c>
      <c r="D274" s="79" t="s">
        <v>609</v>
      </c>
      <c r="E274" s="79" t="s">
        <v>502</v>
      </c>
      <c r="F274" s="79" t="s">
        <v>503</v>
      </c>
      <c r="G274" s="79" t="s">
        <v>525</v>
      </c>
      <c r="H274" s="79">
        <v>48.49</v>
      </c>
      <c r="I274" s="79">
        <v>-1</v>
      </c>
      <c r="M274" s="79">
        <v>50000</v>
      </c>
      <c r="N274" s="79">
        <v>159779.82999999999</v>
      </c>
      <c r="O274" s="83">
        <v>45952</v>
      </c>
    </row>
    <row r="275" spans="2:15" x14ac:dyDescent="0.2">
      <c r="B275" s="79" t="s">
        <v>638</v>
      </c>
      <c r="C275" s="83">
        <v>45952</v>
      </c>
      <c r="D275" s="79" t="s">
        <v>607</v>
      </c>
      <c r="E275" s="79" t="s">
        <v>508</v>
      </c>
      <c r="F275" s="79" t="s">
        <v>509</v>
      </c>
      <c r="G275" s="79" t="s">
        <v>525</v>
      </c>
      <c r="H275" s="79">
        <v>58.69</v>
      </c>
      <c r="I275" s="79">
        <v>1</v>
      </c>
      <c r="J275" s="79">
        <v>100</v>
      </c>
      <c r="M275" s="79">
        <v>-210100</v>
      </c>
      <c r="N275" s="79">
        <v>99679.83</v>
      </c>
      <c r="O275" s="83">
        <v>45953</v>
      </c>
    </row>
    <row r="276" spans="2:15" x14ac:dyDescent="0.2">
      <c r="B276" s="79" t="s">
        <v>638</v>
      </c>
      <c r="C276" s="83">
        <v>45952</v>
      </c>
      <c r="D276" s="79" t="s">
        <v>527</v>
      </c>
      <c r="E276" s="79" t="s">
        <v>539</v>
      </c>
      <c r="F276" s="79" t="s">
        <v>528</v>
      </c>
      <c r="G276" s="79" t="s">
        <v>525</v>
      </c>
      <c r="I276" s="79">
        <v>0</v>
      </c>
      <c r="M276" s="79">
        <v>100000</v>
      </c>
      <c r="N276" s="79">
        <v>309779.83</v>
      </c>
    </row>
    <row r="277" spans="2:15" x14ac:dyDescent="0.2">
      <c r="B277" s="79" t="s">
        <v>638</v>
      </c>
      <c r="C277" s="83">
        <v>45961</v>
      </c>
      <c r="D277" s="79" t="s">
        <v>533</v>
      </c>
      <c r="E277" s="79" t="s">
        <v>496</v>
      </c>
      <c r="F277" s="79" t="s">
        <v>497</v>
      </c>
      <c r="G277" s="79" t="s">
        <v>525</v>
      </c>
      <c r="H277" s="79">
        <v>7.34</v>
      </c>
      <c r="I277" s="79">
        <v>1</v>
      </c>
      <c r="M277" s="79">
        <v>-550.27</v>
      </c>
      <c r="N277" s="79">
        <v>100111.58</v>
      </c>
    </row>
    <row r="278" spans="2:15" x14ac:dyDescent="0.2">
      <c r="B278" s="79" t="s">
        <v>638</v>
      </c>
      <c r="C278" s="83">
        <v>45961</v>
      </c>
      <c r="D278" s="79" t="s">
        <v>534</v>
      </c>
      <c r="E278" s="79" t="s">
        <v>496</v>
      </c>
      <c r="F278" s="79" t="s">
        <v>497</v>
      </c>
      <c r="G278" s="79" t="s">
        <v>525</v>
      </c>
      <c r="I278" s="79">
        <v>0</v>
      </c>
      <c r="M278" s="79">
        <v>550.27</v>
      </c>
      <c r="N278" s="79">
        <v>100661.85</v>
      </c>
    </row>
    <row r="279" spans="2:15" x14ac:dyDescent="0.2">
      <c r="B279" s="79" t="s">
        <v>638</v>
      </c>
      <c r="C279" s="83">
        <v>45961</v>
      </c>
      <c r="D279" s="79" t="s">
        <v>522</v>
      </c>
      <c r="E279" s="79" t="s">
        <v>523</v>
      </c>
      <c r="F279" s="79" t="s">
        <v>524</v>
      </c>
      <c r="G279" s="79" t="s">
        <v>525</v>
      </c>
      <c r="H279" s="79">
        <v>1</v>
      </c>
      <c r="I279" s="79">
        <v>1</v>
      </c>
      <c r="M279" s="79">
        <v>-431.75</v>
      </c>
      <c r="N279" s="79">
        <v>100111.58</v>
      </c>
    </row>
    <row r="280" spans="2:15" x14ac:dyDescent="0.2">
      <c r="B280" s="79" t="s">
        <v>638</v>
      </c>
      <c r="C280" s="83">
        <v>45961</v>
      </c>
      <c r="D280" s="79" t="s">
        <v>526</v>
      </c>
      <c r="E280" s="79" t="s">
        <v>523</v>
      </c>
      <c r="F280" s="79" t="s">
        <v>524</v>
      </c>
      <c r="G280" s="79" t="s">
        <v>525</v>
      </c>
      <c r="I280" s="79">
        <v>0</v>
      </c>
      <c r="M280" s="79">
        <v>431.75</v>
      </c>
      <c r="N280" s="79">
        <v>100111.58</v>
      </c>
    </row>
    <row r="281" spans="2:15" x14ac:dyDescent="0.2">
      <c r="B281" s="79" t="s">
        <v>638</v>
      </c>
      <c r="C281" s="83">
        <v>45964</v>
      </c>
      <c r="D281" s="79" t="s">
        <v>527</v>
      </c>
      <c r="E281" s="79" t="s">
        <v>539</v>
      </c>
      <c r="F281" s="79" t="s">
        <v>528</v>
      </c>
      <c r="G281" s="79" t="s">
        <v>525</v>
      </c>
      <c r="I281" s="79">
        <v>0</v>
      </c>
      <c r="M281" s="79">
        <v>1637.81</v>
      </c>
      <c r="N281" s="79">
        <v>101749.39</v>
      </c>
    </row>
    <row r="282" spans="2:15" x14ac:dyDescent="0.2">
      <c r="B282" s="79" t="s">
        <v>638</v>
      </c>
      <c r="C282" s="83">
        <v>45978</v>
      </c>
      <c r="D282" s="79" t="s">
        <v>527</v>
      </c>
      <c r="E282" s="79" t="s">
        <v>539</v>
      </c>
      <c r="F282" s="79" t="s">
        <v>528</v>
      </c>
      <c r="G282" s="79" t="s">
        <v>525</v>
      </c>
      <c r="I282" s="79">
        <v>0</v>
      </c>
      <c r="M282" s="79">
        <v>1637.8</v>
      </c>
      <c r="N282" s="79">
        <v>103387.19</v>
      </c>
    </row>
    <row r="283" spans="2:15" x14ac:dyDescent="0.2">
      <c r="B283" s="79" t="s">
        <v>638</v>
      </c>
      <c r="C283" s="83">
        <v>45989</v>
      </c>
      <c r="D283" s="79" t="s">
        <v>533</v>
      </c>
      <c r="E283" s="79" t="s">
        <v>496</v>
      </c>
      <c r="F283" s="79" t="s">
        <v>497</v>
      </c>
      <c r="G283" s="79" t="s">
        <v>525</v>
      </c>
      <c r="H283" s="79">
        <v>7.36</v>
      </c>
      <c r="I283" s="79">
        <v>1</v>
      </c>
      <c r="M283" s="79">
        <v>-862.23</v>
      </c>
      <c r="N283" s="79">
        <v>103696.21</v>
      </c>
    </row>
    <row r="284" spans="2:15" x14ac:dyDescent="0.2">
      <c r="B284" s="79" t="s">
        <v>638</v>
      </c>
      <c r="C284" s="83">
        <v>45989</v>
      </c>
      <c r="D284" s="79" t="s">
        <v>534</v>
      </c>
      <c r="E284" s="79" t="s">
        <v>496</v>
      </c>
      <c r="F284" s="79" t="s">
        <v>497</v>
      </c>
      <c r="G284" s="79" t="s">
        <v>525</v>
      </c>
      <c r="I284" s="79">
        <v>0</v>
      </c>
      <c r="M284" s="79">
        <v>862.23</v>
      </c>
      <c r="N284" s="79">
        <v>104558.44</v>
      </c>
    </row>
    <row r="285" spans="2:15" x14ac:dyDescent="0.2">
      <c r="B285" s="79" t="s">
        <v>638</v>
      </c>
      <c r="C285" s="83">
        <v>45989</v>
      </c>
      <c r="D285" s="79" t="s">
        <v>522</v>
      </c>
      <c r="E285" s="79" t="s">
        <v>523</v>
      </c>
      <c r="F285" s="79" t="s">
        <v>524</v>
      </c>
      <c r="G285" s="79" t="s">
        <v>525</v>
      </c>
      <c r="H285" s="79">
        <v>1</v>
      </c>
      <c r="I285" s="79">
        <v>1</v>
      </c>
      <c r="M285" s="79">
        <v>-309.02</v>
      </c>
      <c r="N285" s="79">
        <v>103696.21</v>
      </c>
    </row>
    <row r="286" spans="2:15" x14ac:dyDescent="0.2">
      <c r="B286" s="79" t="s">
        <v>638</v>
      </c>
      <c r="C286" s="83">
        <v>45989</v>
      </c>
      <c r="D286" s="79" t="s">
        <v>526</v>
      </c>
      <c r="E286" s="79" t="s">
        <v>523</v>
      </c>
      <c r="F286" s="79" t="s">
        <v>524</v>
      </c>
      <c r="G286" s="79" t="s">
        <v>525</v>
      </c>
      <c r="I286" s="79">
        <v>0</v>
      </c>
      <c r="M286" s="79">
        <v>309.02</v>
      </c>
      <c r="N286" s="79">
        <v>103696.21</v>
      </c>
    </row>
    <row r="287" spans="2:15" x14ac:dyDescent="0.2">
      <c r="B287" s="79" t="s">
        <v>638</v>
      </c>
      <c r="C287" s="83">
        <v>45992</v>
      </c>
      <c r="D287" s="79" t="s">
        <v>527</v>
      </c>
      <c r="E287" s="79" t="s">
        <v>539</v>
      </c>
      <c r="F287" s="79" t="s">
        <v>528</v>
      </c>
      <c r="G287" s="79" t="s">
        <v>525</v>
      </c>
      <c r="I287" s="79">
        <v>0</v>
      </c>
      <c r="M287" s="79">
        <v>1637.81</v>
      </c>
      <c r="N287" s="79">
        <v>105334.02</v>
      </c>
    </row>
    <row r="288" spans="2:15" x14ac:dyDescent="0.2">
      <c r="B288" s="79" t="s">
        <v>638</v>
      </c>
      <c r="C288" s="83">
        <v>45999</v>
      </c>
      <c r="D288" s="79" t="s">
        <v>604</v>
      </c>
      <c r="E288" s="79" t="s">
        <v>506</v>
      </c>
      <c r="F288" s="79" t="s">
        <v>507</v>
      </c>
      <c r="G288" s="79" t="s">
        <v>525</v>
      </c>
      <c r="H288" s="79">
        <v>67.89</v>
      </c>
      <c r="I288" s="79">
        <v>1</v>
      </c>
      <c r="M288" s="79">
        <v>-36875.160000000003</v>
      </c>
      <c r="N288" s="79">
        <v>105334.02</v>
      </c>
    </row>
    <row r="289" spans="2:14" x14ac:dyDescent="0.2">
      <c r="B289" s="79" t="s">
        <v>638</v>
      </c>
      <c r="C289" s="83">
        <v>45999</v>
      </c>
      <c r="D289" s="79" t="s">
        <v>604</v>
      </c>
      <c r="E289" s="79" t="s">
        <v>506</v>
      </c>
      <c r="F289" s="79" t="s">
        <v>507</v>
      </c>
      <c r="G289" s="79" t="s">
        <v>525</v>
      </c>
      <c r="H289" s="79">
        <v>67.89</v>
      </c>
      <c r="I289" s="79">
        <v>1</v>
      </c>
      <c r="M289" s="79">
        <v>-1400.49</v>
      </c>
      <c r="N289" s="79">
        <v>142209.18</v>
      </c>
    </row>
    <row r="290" spans="2:14" x14ac:dyDescent="0.2">
      <c r="B290" s="79" t="s">
        <v>638</v>
      </c>
      <c r="C290" s="83">
        <v>45999</v>
      </c>
      <c r="D290" s="79" t="s">
        <v>605</v>
      </c>
      <c r="E290" s="79" t="s">
        <v>506</v>
      </c>
      <c r="F290" s="79" t="s">
        <v>507</v>
      </c>
      <c r="G290" s="79" t="s">
        <v>525</v>
      </c>
      <c r="I290" s="79">
        <v>0</v>
      </c>
      <c r="M290" s="79">
        <v>1400.49</v>
      </c>
      <c r="N290" s="79">
        <v>143609.67000000001</v>
      </c>
    </row>
    <row r="291" spans="2:14" x14ac:dyDescent="0.2">
      <c r="B291" s="79" t="s">
        <v>638</v>
      </c>
      <c r="C291" s="83">
        <v>45999</v>
      </c>
      <c r="D291" s="79" t="s">
        <v>606</v>
      </c>
      <c r="E291" s="79" t="s">
        <v>506</v>
      </c>
      <c r="F291" s="79" t="s">
        <v>507</v>
      </c>
      <c r="G291" s="79" t="s">
        <v>525</v>
      </c>
      <c r="I291" s="79">
        <v>0</v>
      </c>
      <c r="M291" s="79">
        <v>36875.160000000003</v>
      </c>
      <c r="N291" s="79">
        <v>142209.18</v>
      </c>
    </row>
    <row r="292" spans="2:14" x14ac:dyDescent="0.2">
      <c r="B292" s="79" t="s">
        <v>638</v>
      </c>
      <c r="C292" s="83">
        <v>46003</v>
      </c>
      <c r="D292" s="79" t="s">
        <v>572</v>
      </c>
      <c r="E292" s="79" t="s">
        <v>498</v>
      </c>
      <c r="F292" s="79" t="s">
        <v>499</v>
      </c>
      <c r="G292" s="79" t="s">
        <v>525</v>
      </c>
      <c r="H292" s="79">
        <v>35.81</v>
      </c>
      <c r="I292" s="79">
        <v>1</v>
      </c>
      <c r="M292" s="79">
        <v>-4074.08</v>
      </c>
      <c r="N292" s="79">
        <v>105334.02</v>
      </c>
    </row>
    <row r="293" spans="2:14" x14ac:dyDescent="0.2">
      <c r="B293" s="79" t="s">
        <v>638</v>
      </c>
      <c r="C293" s="83">
        <v>46003</v>
      </c>
      <c r="D293" s="79" t="s">
        <v>535</v>
      </c>
      <c r="E293" s="79" t="s">
        <v>500</v>
      </c>
      <c r="F293" s="79" t="s">
        <v>501</v>
      </c>
      <c r="G293" s="79" t="s">
        <v>525</v>
      </c>
      <c r="H293" s="79">
        <v>48.64</v>
      </c>
      <c r="I293" s="79">
        <v>1</v>
      </c>
      <c r="M293" s="79">
        <v>-25.8</v>
      </c>
      <c r="N293" s="79">
        <v>109408.1</v>
      </c>
    </row>
    <row r="294" spans="2:14" x14ac:dyDescent="0.2">
      <c r="B294" s="79" t="s">
        <v>638</v>
      </c>
      <c r="C294" s="83">
        <v>46003</v>
      </c>
      <c r="D294" s="79" t="s">
        <v>536</v>
      </c>
      <c r="E294" s="79" t="s">
        <v>500</v>
      </c>
      <c r="F294" s="79" t="s">
        <v>501</v>
      </c>
      <c r="G294" s="79" t="s">
        <v>525</v>
      </c>
      <c r="I294" s="79">
        <v>0</v>
      </c>
      <c r="M294" s="79">
        <v>25.8</v>
      </c>
      <c r="N294" s="79">
        <v>109433.9</v>
      </c>
    </row>
    <row r="295" spans="2:14" x14ac:dyDescent="0.2">
      <c r="B295" s="79" t="s">
        <v>638</v>
      </c>
      <c r="C295" s="83">
        <v>46003</v>
      </c>
      <c r="D295" s="79" t="s">
        <v>594</v>
      </c>
      <c r="E295" s="79" t="s">
        <v>504</v>
      </c>
      <c r="F295" s="79" t="s">
        <v>505</v>
      </c>
      <c r="G295" s="79" t="s">
        <v>525</v>
      </c>
      <c r="H295" s="79">
        <v>14.68</v>
      </c>
      <c r="I295" s="79">
        <v>1</v>
      </c>
      <c r="M295" s="79">
        <v>-3080.08</v>
      </c>
      <c r="N295" s="79">
        <v>109408.1</v>
      </c>
    </row>
    <row r="296" spans="2:14" x14ac:dyDescent="0.2">
      <c r="B296" s="79" t="s">
        <v>638</v>
      </c>
      <c r="C296" s="83">
        <v>46003</v>
      </c>
      <c r="D296" s="79" t="s">
        <v>595</v>
      </c>
      <c r="E296" s="79" t="s">
        <v>504</v>
      </c>
      <c r="F296" s="79" t="s">
        <v>505</v>
      </c>
      <c r="G296" s="79" t="s">
        <v>525</v>
      </c>
      <c r="I296" s="79">
        <v>0</v>
      </c>
      <c r="M296" s="79">
        <v>2549.62</v>
      </c>
      <c r="N296" s="79">
        <v>112488.18</v>
      </c>
    </row>
    <row r="297" spans="2:14" x14ac:dyDescent="0.2">
      <c r="B297" s="79" t="s">
        <v>638</v>
      </c>
      <c r="C297" s="83">
        <v>46003</v>
      </c>
      <c r="D297" s="79" t="s">
        <v>581</v>
      </c>
      <c r="E297" s="79" t="s">
        <v>498</v>
      </c>
      <c r="F297" s="79" t="s">
        <v>499</v>
      </c>
      <c r="G297" s="79" t="s">
        <v>525</v>
      </c>
      <c r="I297" s="79">
        <v>0</v>
      </c>
      <c r="M297" s="79">
        <v>4074.08</v>
      </c>
      <c r="N297" s="79">
        <v>109938.56</v>
      </c>
    </row>
    <row r="298" spans="2:14" x14ac:dyDescent="0.2">
      <c r="B298" s="79" t="s">
        <v>638</v>
      </c>
      <c r="C298" s="83">
        <v>46003</v>
      </c>
      <c r="D298" s="79" t="s">
        <v>603</v>
      </c>
      <c r="E298" s="79" t="s">
        <v>504</v>
      </c>
      <c r="F298" s="79" t="s">
        <v>505</v>
      </c>
      <c r="G298" s="79" t="s">
        <v>525</v>
      </c>
      <c r="I298" s="79">
        <v>0</v>
      </c>
      <c r="M298" s="79">
        <v>530.46</v>
      </c>
      <c r="N298" s="79">
        <v>105864.48</v>
      </c>
    </row>
    <row r="299" spans="2:14" x14ac:dyDescent="0.2">
      <c r="B299" s="79" t="s">
        <v>638</v>
      </c>
      <c r="C299" s="83">
        <v>46007</v>
      </c>
      <c r="D299" s="79" t="s">
        <v>527</v>
      </c>
      <c r="E299" s="79" t="s">
        <v>539</v>
      </c>
      <c r="F299" s="79" t="s">
        <v>528</v>
      </c>
      <c r="G299" s="79" t="s">
        <v>525</v>
      </c>
      <c r="I299" s="79">
        <v>0</v>
      </c>
      <c r="M299" s="79">
        <v>13809.31</v>
      </c>
      <c r="N299" s="79">
        <v>119143.33</v>
      </c>
    </row>
    <row r="300" spans="2:14" x14ac:dyDescent="0.2">
      <c r="B300" s="79" t="s">
        <v>638</v>
      </c>
      <c r="C300" s="83">
        <v>46008</v>
      </c>
      <c r="D300" s="79" t="s">
        <v>533</v>
      </c>
      <c r="E300" s="79" t="s">
        <v>496</v>
      </c>
      <c r="F300" s="79" t="s">
        <v>497</v>
      </c>
      <c r="G300" s="79" t="s">
        <v>525</v>
      </c>
      <c r="H300" s="79">
        <v>7.31</v>
      </c>
      <c r="I300" s="79">
        <v>1</v>
      </c>
      <c r="M300" s="79">
        <v>-112.95</v>
      </c>
      <c r="N300" s="79">
        <v>119143.33</v>
      </c>
    </row>
    <row r="301" spans="2:14" x14ac:dyDescent="0.2">
      <c r="B301" s="79" t="s">
        <v>638</v>
      </c>
      <c r="C301" s="83">
        <v>46008</v>
      </c>
      <c r="D301" s="79" t="s">
        <v>534</v>
      </c>
      <c r="E301" s="79" t="s">
        <v>496</v>
      </c>
      <c r="F301" s="79" t="s">
        <v>497</v>
      </c>
      <c r="G301" s="79" t="s">
        <v>525</v>
      </c>
      <c r="I301" s="79">
        <v>0</v>
      </c>
      <c r="M301" s="79">
        <v>112.95</v>
      </c>
      <c r="N301" s="79">
        <v>119256.28</v>
      </c>
    </row>
    <row r="302" spans="2:14" x14ac:dyDescent="0.2">
      <c r="B302" s="79" t="s">
        <v>638</v>
      </c>
      <c r="C302" s="83">
        <v>46014</v>
      </c>
      <c r="D302" s="79" t="s">
        <v>599</v>
      </c>
      <c r="E302" s="79" t="s">
        <v>488</v>
      </c>
      <c r="F302" s="79" t="s">
        <v>510</v>
      </c>
      <c r="G302" s="79" t="s">
        <v>525</v>
      </c>
      <c r="H302" s="79">
        <v>125.1</v>
      </c>
      <c r="I302" s="79">
        <v>1</v>
      </c>
      <c r="M302" s="79">
        <v>-695.63</v>
      </c>
      <c r="N302" s="79">
        <v>119143.33</v>
      </c>
    </row>
    <row r="303" spans="2:14" x14ac:dyDescent="0.2">
      <c r="B303" s="79" t="s">
        <v>638</v>
      </c>
      <c r="C303" s="83">
        <v>46014</v>
      </c>
      <c r="D303" s="79" t="s">
        <v>600</v>
      </c>
      <c r="E303" s="79" t="s">
        <v>488</v>
      </c>
      <c r="F303" s="79" t="s">
        <v>510</v>
      </c>
      <c r="G303" s="79" t="s">
        <v>525</v>
      </c>
      <c r="I303" s="79">
        <v>0</v>
      </c>
      <c r="M303" s="79">
        <v>695.63</v>
      </c>
      <c r="N303" s="79">
        <v>119838.96</v>
      </c>
    </row>
    <row r="304" spans="2:14" x14ac:dyDescent="0.2">
      <c r="B304" s="79" t="s">
        <v>638</v>
      </c>
      <c r="C304" s="83">
        <v>46014</v>
      </c>
      <c r="D304" s="79" t="s">
        <v>601</v>
      </c>
      <c r="E304" s="79" t="s">
        <v>508</v>
      </c>
      <c r="F304" s="79" t="s">
        <v>509</v>
      </c>
      <c r="G304" s="79" t="s">
        <v>525</v>
      </c>
      <c r="H304" s="79">
        <v>59.96</v>
      </c>
      <c r="I304" s="79">
        <v>1</v>
      </c>
      <c r="M304" s="79">
        <v>-849.09</v>
      </c>
      <c r="N304" s="79">
        <v>119143.33</v>
      </c>
    </row>
    <row r="305" spans="2:14" x14ac:dyDescent="0.2">
      <c r="B305" s="79" t="s">
        <v>638</v>
      </c>
      <c r="C305" s="83">
        <v>46014</v>
      </c>
      <c r="D305" s="79" t="s">
        <v>602</v>
      </c>
      <c r="E305" s="79" t="s">
        <v>508</v>
      </c>
      <c r="F305" s="79" t="s">
        <v>509</v>
      </c>
      <c r="G305" s="79" t="s">
        <v>525</v>
      </c>
      <c r="I305" s="79">
        <v>0</v>
      </c>
      <c r="M305" s="79">
        <v>849.09</v>
      </c>
      <c r="N305" s="79">
        <v>119992.42</v>
      </c>
    </row>
    <row r="306" spans="2:14" x14ac:dyDescent="0.2">
      <c r="B306" s="79" t="s">
        <v>638</v>
      </c>
      <c r="C306" s="83">
        <v>46017</v>
      </c>
      <c r="D306" s="79" t="s">
        <v>596</v>
      </c>
      <c r="E306" s="79" t="s">
        <v>502</v>
      </c>
      <c r="F306" s="79" t="s">
        <v>503</v>
      </c>
      <c r="G306" s="79" t="s">
        <v>525</v>
      </c>
      <c r="H306" s="79">
        <v>47.04</v>
      </c>
      <c r="I306" s="79">
        <v>1</v>
      </c>
      <c r="M306" s="79">
        <v>-15815.59</v>
      </c>
      <c r="N306" s="79">
        <v>119143.33</v>
      </c>
    </row>
    <row r="307" spans="2:14" x14ac:dyDescent="0.2">
      <c r="B307" s="79" t="s">
        <v>638</v>
      </c>
      <c r="C307" s="83">
        <v>46017</v>
      </c>
      <c r="D307" s="79" t="s">
        <v>597</v>
      </c>
      <c r="E307" s="79" t="s">
        <v>502</v>
      </c>
      <c r="F307" s="79" t="s">
        <v>503</v>
      </c>
      <c r="G307" s="79" t="s">
        <v>525</v>
      </c>
      <c r="I307" s="79">
        <v>0</v>
      </c>
      <c r="M307" s="79">
        <v>1554.94</v>
      </c>
      <c r="N307" s="79">
        <v>134958.92000000001</v>
      </c>
    </row>
    <row r="308" spans="2:14" x14ac:dyDescent="0.2">
      <c r="B308" s="79" t="s">
        <v>638</v>
      </c>
      <c r="C308" s="83">
        <v>46017</v>
      </c>
      <c r="D308" s="79" t="s">
        <v>598</v>
      </c>
      <c r="E308" s="79" t="s">
        <v>502</v>
      </c>
      <c r="F308" s="79" t="s">
        <v>503</v>
      </c>
      <c r="G308" s="79" t="s">
        <v>525</v>
      </c>
      <c r="I308" s="79">
        <v>0</v>
      </c>
      <c r="M308" s="79">
        <v>14260.65</v>
      </c>
      <c r="N308" s="79">
        <v>133403.98000000001</v>
      </c>
    </row>
    <row r="309" spans="2:14" x14ac:dyDescent="0.2">
      <c r="B309" s="79" t="s">
        <v>638</v>
      </c>
      <c r="C309" s="83">
        <v>46020</v>
      </c>
      <c r="D309" s="79" t="s">
        <v>594</v>
      </c>
      <c r="E309" s="79" t="s">
        <v>504</v>
      </c>
      <c r="F309" s="79" t="s">
        <v>505</v>
      </c>
      <c r="G309" s="79" t="s">
        <v>525</v>
      </c>
      <c r="H309" s="79">
        <v>14.89</v>
      </c>
      <c r="I309" s="79">
        <v>1</v>
      </c>
      <c r="M309" s="79">
        <v>-51.96</v>
      </c>
      <c r="N309" s="79">
        <v>119143.33</v>
      </c>
    </row>
    <row r="310" spans="2:14" x14ac:dyDescent="0.2">
      <c r="B310" s="79" t="s">
        <v>638</v>
      </c>
      <c r="C310" s="83">
        <v>46020</v>
      </c>
      <c r="D310" s="79" t="s">
        <v>595</v>
      </c>
      <c r="E310" s="79" t="s">
        <v>504</v>
      </c>
      <c r="F310" s="79" t="s">
        <v>505</v>
      </c>
      <c r="G310" s="79" t="s">
        <v>525</v>
      </c>
      <c r="I310" s="79">
        <v>0</v>
      </c>
      <c r="M310" s="79">
        <v>51.96</v>
      </c>
      <c r="N310" s="79">
        <v>119195.29</v>
      </c>
    </row>
    <row r="311" spans="2:14" x14ac:dyDescent="0.2">
      <c r="B311" s="79" t="s">
        <v>638</v>
      </c>
      <c r="C311" s="83">
        <v>46022</v>
      </c>
      <c r="D311" s="79" t="s">
        <v>533</v>
      </c>
      <c r="E311" s="79" t="s">
        <v>496</v>
      </c>
      <c r="F311" s="79" t="s">
        <v>497</v>
      </c>
      <c r="G311" s="79" t="s">
        <v>525</v>
      </c>
      <c r="H311" s="79">
        <v>7.31</v>
      </c>
      <c r="I311" s="79">
        <v>1</v>
      </c>
      <c r="M311" s="79">
        <v>-882.12</v>
      </c>
      <c r="N311" s="79">
        <v>119479.95</v>
      </c>
    </row>
    <row r="312" spans="2:14" x14ac:dyDescent="0.2">
      <c r="B312" s="79" t="s">
        <v>638</v>
      </c>
      <c r="C312" s="83">
        <v>46022</v>
      </c>
      <c r="D312" s="79" t="s">
        <v>534</v>
      </c>
      <c r="E312" s="79" t="s">
        <v>496</v>
      </c>
      <c r="F312" s="79" t="s">
        <v>497</v>
      </c>
      <c r="G312" s="79" t="s">
        <v>525</v>
      </c>
      <c r="I312" s="79">
        <v>0</v>
      </c>
      <c r="M312" s="79">
        <v>882.12</v>
      </c>
      <c r="N312" s="79">
        <v>120362.07</v>
      </c>
    </row>
    <row r="313" spans="2:14" x14ac:dyDescent="0.2">
      <c r="B313" s="79" t="s">
        <v>638</v>
      </c>
      <c r="C313" s="83">
        <v>46022</v>
      </c>
      <c r="D313" s="79" t="s">
        <v>522</v>
      </c>
      <c r="E313" s="79" t="s">
        <v>523</v>
      </c>
      <c r="F313" s="79" t="s">
        <v>524</v>
      </c>
      <c r="G313" s="79" t="s">
        <v>525</v>
      </c>
      <c r="H313" s="79">
        <v>1</v>
      </c>
      <c r="I313" s="79">
        <v>1</v>
      </c>
      <c r="M313" s="79">
        <v>-336.62</v>
      </c>
      <c r="N313" s="79">
        <v>119479.95</v>
      </c>
    </row>
    <row r="314" spans="2:14" x14ac:dyDescent="0.2">
      <c r="B314" s="79" t="s">
        <v>638</v>
      </c>
      <c r="C314" s="83">
        <v>46022</v>
      </c>
      <c r="D314" s="79" t="s">
        <v>526</v>
      </c>
      <c r="E314" s="79" t="s">
        <v>523</v>
      </c>
      <c r="F314" s="79" t="s">
        <v>524</v>
      </c>
      <c r="G314" s="79" t="s">
        <v>525</v>
      </c>
      <c r="I314" s="79">
        <v>0</v>
      </c>
      <c r="M314" s="79">
        <v>336.62</v>
      </c>
      <c r="N314" s="79">
        <v>119479.95</v>
      </c>
    </row>
    <row r="315" spans="2:14" x14ac:dyDescent="0.2">
      <c r="B315" s="79" t="s">
        <v>638</v>
      </c>
      <c r="C315" s="83">
        <v>46038</v>
      </c>
      <c r="D315" s="79" t="s">
        <v>527</v>
      </c>
      <c r="E315" s="79" t="s">
        <v>539</v>
      </c>
      <c r="F315" s="79" t="s">
        <v>528</v>
      </c>
      <c r="G315" s="79" t="s">
        <v>525</v>
      </c>
      <c r="I315" s="79">
        <v>0</v>
      </c>
      <c r="M315" s="79">
        <v>1637.81</v>
      </c>
      <c r="N315" s="79">
        <v>121117.75999999999</v>
      </c>
    </row>
    <row r="316" spans="2:14" x14ac:dyDescent="0.2">
      <c r="B316" s="79" t="s">
        <v>638</v>
      </c>
      <c r="C316" s="83">
        <v>46052</v>
      </c>
      <c r="D316" s="79" t="s">
        <v>533</v>
      </c>
      <c r="E316" s="79" t="s">
        <v>496</v>
      </c>
      <c r="F316" s="79" t="s">
        <v>497</v>
      </c>
      <c r="G316" s="79" t="s">
        <v>525</v>
      </c>
      <c r="H316" s="79">
        <v>7.29</v>
      </c>
      <c r="I316" s="79">
        <v>1</v>
      </c>
      <c r="M316" s="79">
        <v>-873.16</v>
      </c>
      <c r="N316" s="79">
        <v>121467.61</v>
      </c>
    </row>
    <row r="317" spans="2:14" x14ac:dyDescent="0.2">
      <c r="B317" s="79" t="s">
        <v>638</v>
      </c>
      <c r="C317" s="83">
        <v>46052</v>
      </c>
      <c r="D317" s="79" t="s">
        <v>534</v>
      </c>
      <c r="E317" s="79" t="s">
        <v>496</v>
      </c>
      <c r="F317" s="79" t="s">
        <v>497</v>
      </c>
      <c r="G317" s="79" t="s">
        <v>525</v>
      </c>
      <c r="I317" s="79">
        <v>0</v>
      </c>
      <c r="M317" s="79">
        <v>873.16</v>
      </c>
      <c r="N317" s="79">
        <v>122340.77</v>
      </c>
    </row>
    <row r="318" spans="2:14" x14ac:dyDescent="0.2">
      <c r="B318" s="79" t="s">
        <v>638</v>
      </c>
      <c r="C318" s="83">
        <v>46052</v>
      </c>
      <c r="D318" s="79" t="s">
        <v>522</v>
      </c>
      <c r="E318" s="79" t="s">
        <v>523</v>
      </c>
      <c r="F318" s="79" t="s">
        <v>524</v>
      </c>
      <c r="G318" s="79" t="s">
        <v>525</v>
      </c>
      <c r="H318" s="79">
        <v>1</v>
      </c>
      <c r="I318" s="79">
        <v>1</v>
      </c>
      <c r="M318" s="79">
        <v>-349.85</v>
      </c>
      <c r="N318" s="79">
        <v>121467.61</v>
      </c>
    </row>
    <row r="319" spans="2:14" x14ac:dyDescent="0.2">
      <c r="B319" s="79" t="s">
        <v>638</v>
      </c>
      <c r="C319" s="83">
        <v>46052</v>
      </c>
      <c r="D319" s="79" t="s">
        <v>526</v>
      </c>
      <c r="E319" s="79" t="s">
        <v>523</v>
      </c>
      <c r="F319" s="79" t="s">
        <v>524</v>
      </c>
      <c r="G319" s="79" t="s">
        <v>525</v>
      </c>
      <c r="I319" s="79">
        <v>0</v>
      </c>
      <c r="M319" s="79">
        <v>349.85</v>
      </c>
      <c r="N319" s="79">
        <v>121467.61</v>
      </c>
    </row>
    <row r="320" spans="2:14" x14ac:dyDescent="0.2">
      <c r="B320" s="79" t="s">
        <v>638</v>
      </c>
      <c r="C320" s="83">
        <v>46055</v>
      </c>
      <c r="D320" s="79" t="s">
        <v>527</v>
      </c>
      <c r="E320" s="79" t="s">
        <v>539</v>
      </c>
      <c r="F320" s="79" t="s">
        <v>528</v>
      </c>
      <c r="G320" s="79" t="s">
        <v>525</v>
      </c>
      <c r="I320" s="79">
        <v>0</v>
      </c>
      <c r="M320" s="79">
        <v>1637.8</v>
      </c>
      <c r="N320" s="79">
        <v>123105.41</v>
      </c>
    </row>
    <row r="321" spans="2:14" x14ac:dyDescent="0.2">
      <c r="B321" s="79" t="s">
        <v>638</v>
      </c>
      <c r="C321" s="83">
        <v>46070</v>
      </c>
      <c r="D321" s="79" t="s">
        <v>527</v>
      </c>
      <c r="E321" s="79" t="s">
        <v>539</v>
      </c>
      <c r="F321" s="79" t="s">
        <v>528</v>
      </c>
      <c r="G321" s="79" t="s">
        <v>525</v>
      </c>
      <c r="I321" s="79">
        <v>0</v>
      </c>
      <c r="M321" s="79">
        <v>1637.81</v>
      </c>
      <c r="N321" s="79">
        <v>124743.22</v>
      </c>
    </row>
    <row r="322" spans="2:14" x14ac:dyDescent="0.2">
      <c r="B322" s="79" t="s">
        <v>638</v>
      </c>
      <c r="C322" s="83">
        <v>46080</v>
      </c>
      <c r="D322" s="79" t="s">
        <v>533</v>
      </c>
      <c r="E322" s="79" t="s">
        <v>496</v>
      </c>
      <c r="F322" s="79" t="s">
        <v>497</v>
      </c>
      <c r="G322" s="79" t="s">
        <v>525</v>
      </c>
      <c r="H322" s="79">
        <v>7.4</v>
      </c>
      <c r="I322" s="79">
        <v>1</v>
      </c>
      <c r="M322" s="79">
        <v>-821.47</v>
      </c>
      <c r="N322" s="79">
        <v>125062.43</v>
      </c>
    </row>
    <row r="323" spans="2:14" x14ac:dyDescent="0.2">
      <c r="B323" s="79" t="s">
        <v>638</v>
      </c>
      <c r="C323" s="83">
        <v>46080</v>
      </c>
      <c r="D323" s="79" t="s">
        <v>534</v>
      </c>
      <c r="E323" s="79" t="s">
        <v>496</v>
      </c>
      <c r="F323" s="79" t="s">
        <v>497</v>
      </c>
      <c r="G323" s="79" t="s">
        <v>525</v>
      </c>
      <c r="I323" s="79">
        <v>0</v>
      </c>
      <c r="M323" s="79">
        <v>821.47</v>
      </c>
      <c r="N323" s="79">
        <v>125883.9</v>
      </c>
    </row>
    <row r="324" spans="2:14" x14ac:dyDescent="0.2">
      <c r="B324" s="79" t="s">
        <v>638</v>
      </c>
      <c r="C324" s="83">
        <v>46080</v>
      </c>
      <c r="D324" s="79" t="s">
        <v>522</v>
      </c>
      <c r="E324" s="79" t="s">
        <v>523</v>
      </c>
      <c r="F324" s="79" t="s">
        <v>524</v>
      </c>
      <c r="G324" s="79" t="s">
        <v>525</v>
      </c>
      <c r="H324" s="79">
        <v>1</v>
      </c>
      <c r="I324" s="79">
        <v>1</v>
      </c>
      <c r="M324" s="79">
        <v>-319.20999999999998</v>
      </c>
      <c r="N324" s="79">
        <v>125062.43</v>
      </c>
    </row>
    <row r="325" spans="2:14" x14ac:dyDescent="0.2">
      <c r="B325" s="79" t="s">
        <v>638</v>
      </c>
      <c r="C325" s="83">
        <v>46080</v>
      </c>
      <c r="D325" s="79" t="s">
        <v>526</v>
      </c>
      <c r="E325" s="79" t="s">
        <v>523</v>
      </c>
      <c r="F325" s="79" t="s">
        <v>524</v>
      </c>
      <c r="G325" s="79" t="s">
        <v>525</v>
      </c>
      <c r="I325" s="79">
        <v>0</v>
      </c>
      <c r="M325" s="79">
        <v>319.20999999999998</v>
      </c>
      <c r="N325" s="79">
        <v>125062.43</v>
      </c>
    </row>
    <row r="326" spans="2:14" x14ac:dyDescent="0.2">
      <c r="B326" s="79" t="s">
        <v>638</v>
      </c>
      <c r="C326" s="83">
        <v>46083</v>
      </c>
      <c r="D326" s="79" t="s">
        <v>527</v>
      </c>
      <c r="E326" s="79" t="s">
        <v>539</v>
      </c>
      <c r="F326" s="79" t="s">
        <v>528</v>
      </c>
      <c r="G326" s="79" t="s">
        <v>525</v>
      </c>
      <c r="I326" s="79">
        <v>0</v>
      </c>
      <c r="M326" s="79">
        <v>1637.8</v>
      </c>
      <c r="N326" s="79">
        <v>126700.23</v>
      </c>
    </row>
    <row r="327" spans="2:14" x14ac:dyDescent="0.2">
      <c r="B327" s="79" t="s">
        <v>638</v>
      </c>
      <c r="C327" s="83">
        <v>46097</v>
      </c>
      <c r="D327" s="79" t="s">
        <v>527</v>
      </c>
      <c r="E327" s="79" t="s">
        <v>539</v>
      </c>
      <c r="F327" s="79" t="s">
        <v>528</v>
      </c>
      <c r="G327" s="79" t="s">
        <v>525</v>
      </c>
      <c r="I327" s="79">
        <v>0</v>
      </c>
      <c r="M327" s="79">
        <v>1637.81</v>
      </c>
      <c r="N327" s="79">
        <v>128338.04</v>
      </c>
    </row>
    <row r="328" spans="2:14" x14ac:dyDescent="0.2">
      <c r="B328" s="79" t="s">
        <v>638</v>
      </c>
      <c r="C328" s="83">
        <v>46106</v>
      </c>
      <c r="D328" s="79" t="s">
        <v>636</v>
      </c>
      <c r="E328" s="79" t="s">
        <v>488</v>
      </c>
      <c r="F328" s="79" t="s">
        <v>510</v>
      </c>
      <c r="G328" s="79" t="s">
        <v>525</v>
      </c>
      <c r="H328" s="79">
        <v>124.53</v>
      </c>
      <c r="I328" s="79">
        <v>1</v>
      </c>
      <c r="M328" s="79">
        <v>-829.15</v>
      </c>
      <c r="N328" s="79">
        <v>128338.04</v>
      </c>
    </row>
    <row r="329" spans="2:14" x14ac:dyDescent="0.2">
      <c r="B329" s="79" t="s">
        <v>638</v>
      </c>
      <c r="C329" s="83">
        <v>46106</v>
      </c>
      <c r="D329" s="79" t="s">
        <v>637</v>
      </c>
      <c r="E329" s="79" t="s">
        <v>488</v>
      </c>
      <c r="F329" s="79" t="s">
        <v>510</v>
      </c>
      <c r="G329" s="79" t="s">
        <v>525</v>
      </c>
      <c r="I329" s="79">
        <v>0</v>
      </c>
      <c r="M329" s="79">
        <v>829.15</v>
      </c>
      <c r="N329" s="79">
        <v>129167.19</v>
      </c>
    </row>
    <row r="330" spans="2:14" x14ac:dyDescent="0.2">
      <c r="B330" s="79" t="s">
        <v>638</v>
      </c>
      <c r="C330" s="83">
        <v>46111</v>
      </c>
      <c r="D330" s="79" t="s">
        <v>634</v>
      </c>
      <c r="E330" s="79" t="s">
        <v>508</v>
      </c>
      <c r="F330" s="79" t="s">
        <v>509</v>
      </c>
      <c r="G330" s="79" t="s">
        <v>525</v>
      </c>
      <c r="H330" s="79">
        <v>57.18</v>
      </c>
      <c r="I330" s="79">
        <v>1</v>
      </c>
      <c r="M330" s="79">
        <v>-797.85</v>
      </c>
      <c r="N330" s="79">
        <v>128338.04</v>
      </c>
    </row>
    <row r="331" spans="2:14" x14ac:dyDescent="0.2">
      <c r="B331" s="79" t="s">
        <v>638</v>
      </c>
      <c r="C331" s="83">
        <v>46111</v>
      </c>
      <c r="D331" s="79" t="s">
        <v>635</v>
      </c>
      <c r="E331" s="79" t="s">
        <v>508</v>
      </c>
      <c r="F331" s="79" t="s">
        <v>509</v>
      </c>
      <c r="G331" s="79" t="s">
        <v>525</v>
      </c>
      <c r="I331" s="79">
        <v>0</v>
      </c>
      <c r="M331" s="79">
        <v>797.85</v>
      </c>
      <c r="N331" s="79">
        <v>129135.89</v>
      </c>
    </row>
    <row r="332" spans="2:14" x14ac:dyDescent="0.2">
      <c r="B332" s="79" t="s">
        <v>638</v>
      </c>
      <c r="C332" s="83">
        <v>46112</v>
      </c>
      <c r="D332" s="79" t="s">
        <v>533</v>
      </c>
      <c r="E332" s="79" t="s">
        <v>496</v>
      </c>
      <c r="F332" s="79" t="s">
        <v>497</v>
      </c>
      <c r="G332" s="79" t="s">
        <v>525</v>
      </c>
      <c r="H332" s="79">
        <v>7.24</v>
      </c>
      <c r="I332" s="79">
        <v>1</v>
      </c>
      <c r="M332" s="79">
        <v>-899.81</v>
      </c>
      <c r="N332" s="79">
        <v>128702.93</v>
      </c>
    </row>
    <row r="333" spans="2:14" x14ac:dyDescent="0.2">
      <c r="B333" s="79" t="s">
        <v>638</v>
      </c>
      <c r="C333" s="83">
        <v>46112</v>
      </c>
      <c r="D333" s="79" t="s">
        <v>534</v>
      </c>
      <c r="E333" s="79" t="s">
        <v>496</v>
      </c>
      <c r="F333" s="79" t="s">
        <v>497</v>
      </c>
      <c r="G333" s="79" t="s">
        <v>525</v>
      </c>
      <c r="I333" s="79">
        <v>0</v>
      </c>
      <c r="M333" s="79">
        <v>899.81</v>
      </c>
      <c r="N333" s="79">
        <v>129602.74</v>
      </c>
    </row>
    <row r="334" spans="2:14" x14ac:dyDescent="0.2">
      <c r="B334" s="79" t="s">
        <v>638</v>
      </c>
      <c r="C334" s="83">
        <v>46112</v>
      </c>
      <c r="D334" s="79" t="s">
        <v>522</v>
      </c>
      <c r="E334" s="79" t="s">
        <v>523</v>
      </c>
      <c r="F334" s="79" t="s">
        <v>524</v>
      </c>
      <c r="G334" s="79" t="s">
        <v>525</v>
      </c>
      <c r="H334" s="79">
        <v>1</v>
      </c>
      <c r="I334" s="79">
        <v>1</v>
      </c>
      <c r="M334" s="79">
        <v>-364.89</v>
      </c>
      <c r="N334" s="79">
        <v>128702.93</v>
      </c>
    </row>
    <row r="335" spans="2:14" x14ac:dyDescent="0.2">
      <c r="B335" s="79" t="s">
        <v>638</v>
      </c>
      <c r="C335" s="83">
        <v>46112</v>
      </c>
      <c r="D335" s="79" t="s">
        <v>526</v>
      </c>
      <c r="E335" s="79" t="s">
        <v>523</v>
      </c>
      <c r="F335" s="79" t="s">
        <v>524</v>
      </c>
      <c r="G335" s="79" t="s">
        <v>525</v>
      </c>
      <c r="I335" s="79">
        <v>0</v>
      </c>
      <c r="M335" s="79">
        <v>364.89</v>
      </c>
      <c r="N335" s="79">
        <v>128702.93</v>
      </c>
    </row>
    <row r="336" spans="2:14" x14ac:dyDescent="0.2">
      <c r="B336" s="79" t="s">
        <v>638</v>
      </c>
      <c r="C336" s="83">
        <v>46113</v>
      </c>
      <c r="D336" s="79" t="s">
        <v>527</v>
      </c>
      <c r="E336" s="79" t="s">
        <v>539</v>
      </c>
      <c r="F336" s="79" t="s">
        <v>528</v>
      </c>
      <c r="G336" s="79" t="s">
        <v>525</v>
      </c>
      <c r="I336" s="79">
        <v>0</v>
      </c>
      <c r="M336" s="79">
        <v>1637.8</v>
      </c>
      <c r="N336" s="79">
        <v>130340.73</v>
      </c>
    </row>
    <row r="337" spans="2:14" x14ac:dyDescent="0.2">
      <c r="B337" s="79" t="s">
        <v>638</v>
      </c>
      <c r="C337" s="83">
        <v>46128</v>
      </c>
      <c r="D337" s="79" t="s">
        <v>527</v>
      </c>
      <c r="E337" s="79" t="s">
        <v>539</v>
      </c>
      <c r="F337" s="79" t="s">
        <v>528</v>
      </c>
      <c r="G337" s="79" t="s">
        <v>525</v>
      </c>
      <c r="I337" s="79">
        <v>0</v>
      </c>
      <c r="M337" s="79">
        <v>1637.8</v>
      </c>
      <c r="N337" s="79">
        <v>131978.53</v>
      </c>
    </row>
    <row r="338" spans="2:14" x14ac:dyDescent="0.2">
      <c r="B338" s="79" t="s">
        <v>638</v>
      </c>
      <c r="C338" s="83">
        <v>46142</v>
      </c>
      <c r="D338" s="79" t="s">
        <v>533</v>
      </c>
      <c r="E338" s="79" t="s">
        <v>496</v>
      </c>
      <c r="F338" s="79" t="s">
        <v>497</v>
      </c>
      <c r="G338" s="79" t="s">
        <v>525</v>
      </c>
      <c r="H338" s="79">
        <v>7.23</v>
      </c>
      <c r="I338" s="79">
        <v>1</v>
      </c>
      <c r="M338" s="79">
        <v>-880.92</v>
      </c>
      <c r="N338" s="79">
        <v>132339.87</v>
      </c>
    </row>
    <row r="339" spans="2:14" x14ac:dyDescent="0.2">
      <c r="B339" s="79" t="s">
        <v>638</v>
      </c>
      <c r="C339" s="83">
        <v>46142</v>
      </c>
      <c r="D339" s="79" t="s">
        <v>534</v>
      </c>
      <c r="E339" s="79" t="s">
        <v>496</v>
      </c>
      <c r="F339" s="79" t="s">
        <v>497</v>
      </c>
      <c r="G339" s="79" t="s">
        <v>525</v>
      </c>
      <c r="I339" s="79">
        <v>0</v>
      </c>
      <c r="M339" s="79">
        <v>880.92</v>
      </c>
      <c r="N339" s="79">
        <v>133220.79</v>
      </c>
    </row>
    <row r="340" spans="2:14" x14ac:dyDescent="0.2">
      <c r="B340" s="79" t="s">
        <v>638</v>
      </c>
      <c r="C340" s="83">
        <v>46142</v>
      </c>
      <c r="D340" s="79" t="s">
        <v>522</v>
      </c>
      <c r="E340" s="79" t="s">
        <v>523</v>
      </c>
      <c r="F340" s="79" t="s">
        <v>524</v>
      </c>
      <c r="G340" s="79" t="s">
        <v>525</v>
      </c>
      <c r="H340" s="79">
        <v>1</v>
      </c>
      <c r="I340" s="79">
        <v>1</v>
      </c>
      <c r="M340" s="79">
        <v>-361.34</v>
      </c>
      <c r="N340" s="79">
        <v>132339.87</v>
      </c>
    </row>
    <row r="341" spans="2:14" x14ac:dyDescent="0.2">
      <c r="B341" s="79" t="s">
        <v>638</v>
      </c>
      <c r="C341" s="83">
        <v>46142</v>
      </c>
      <c r="D341" s="79" t="s">
        <v>526</v>
      </c>
      <c r="E341" s="79" t="s">
        <v>523</v>
      </c>
      <c r="F341" s="79" t="s">
        <v>524</v>
      </c>
      <c r="G341" s="79" t="s">
        <v>525</v>
      </c>
      <c r="I341" s="79">
        <v>0</v>
      </c>
      <c r="M341" s="79">
        <v>361.34</v>
      </c>
      <c r="N341" s="79">
        <v>132339.87</v>
      </c>
    </row>
    <row r="342" spans="2:14" x14ac:dyDescent="0.2">
      <c r="B342" s="79" t="s">
        <v>638</v>
      </c>
      <c r="C342" s="83">
        <v>46143</v>
      </c>
      <c r="D342" s="79" t="s">
        <v>527</v>
      </c>
      <c r="E342" s="79" t="s">
        <v>539</v>
      </c>
      <c r="F342" s="79" t="s">
        <v>528</v>
      </c>
      <c r="G342" s="79" t="s">
        <v>525</v>
      </c>
      <c r="I342" s="79">
        <v>0</v>
      </c>
      <c r="M342" s="79">
        <v>1637.81</v>
      </c>
      <c r="N342" s="79">
        <v>133977.68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</sheetPr>
  <dimension ref="A2:G23"/>
  <sheetViews>
    <sheetView topLeftCell="B1" zoomScale="156" zoomScaleNormal="100" workbookViewId="0">
      <selection activeCell="G23" sqref="G23"/>
    </sheetView>
  </sheetViews>
  <sheetFormatPr baseColWidth="10" defaultColWidth="8.83203125" defaultRowHeight="15" x14ac:dyDescent="0.2"/>
  <cols>
    <col min="2" max="2" width="21.1640625" style="42" customWidth="1"/>
    <col min="3" max="3" width="23.83203125" customWidth="1"/>
    <col min="4" max="4" width="24.1640625" customWidth="1"/>
    <col min="5" max="5" width="19" customWidth="1"/>
    <col min="6" max="7" width="10.83203125" style="42" customWidth="1"/>
  </cols>
  <sheetData>
    <row r="2" spans="1:7" x14ac:dyDescent="0.2">
      <c r="C2" s="43" t="s">
        <v>104</v>
      </c>
      <c r="D2" s="43"/>
    </row>
    <row r="3" spans="1:7" ht="18" customHeight="1" x14ac:dyDescent="0.2">
      <c r="B3" s="44" t="s">
        <v>105</v>
      </c>
      <c r="C3" s="21">
        <v>51561</v>
      </c>
      <c r="D3" s="45"/>
      <c r="F3" s="46"/>
    </row>
    <row r="4" spans="1:7" ht="18" customHeight="1" x14ac:dyDescent="0.2">
      <c r="B4" s="44" t="s">
        <v>106</v>
      </c>
      <c r="C4" s="21">
        <v>51592</v>
      </c>
      <c r="D4" s="44" t="s">
        <v>107</v>
      </c>
      <c r="F4" s="46"/>
    </row>
    <row r="5" spans="1:7" ht="18" customHeight="1" x14ac:dyDescent="0.2">
      <c r="B5" s="44" t="s">
        <v>108</v>
      </c>
      <c r="C5" t="s">
        <v>109</v>
      </c>
      <c r="D5" s="45"/>
      <c r="F5" s="46"/>
    </row>
    <row r="6" spans="1:7" ht="18" customHeight="1" x14ac:dyDescent="0.2">
      <c r="B6" s="44" t="s">
        <v>110</v>
      </c>
      <c r="C6" s="21">
        <v>32143</v>
      </c>
      <c r="D6" s="45"/>
      <c r="F6" s="46"/>
    </row>
    <row r="7" spans="1:7" ht="18" customHeight="1" x14ac:dyDescent="0.2">
      <c r="B7" s="44" t="s">
        <v>111</v>
      </c>
      <c r="C7" s="17">
        <v>0</v>
      </c>
      <c r="D7" s="45"/>
      <c r="F7" s="46"/>
    </row>
    <row r="8" spans="1:7" x14ac:dyDescent="0.2">
      <c r="B8" s="44" t="s">
        <v>112</v>
      </c>
      <c r="C8" s="17">
        <v>0</v>
      </c>
    </row>
    <row r="9" spans="1:7" x14ac:dyDescent="0.2">
      <c r="B9" s="47" t="s">
        <v>113</v>
      </c>
      <c r="C9" s="21">
        <v>31413</v>
      </c>
    </row>
    <row r="10" spans="1:7" x14ac:dyDescent="0.2">
      <c r="A10" s="48"/>
      <c r="B10" s="44" t="s">
        <v>114</v>
      </c>
      <c r="D10" s="44" t="s">
        <v>115</v>
      </c>
      <c r="E10" s="44" t="s">
        <v>116</v>
      </c>
      <c r="F10" s="49"/>
      <c r="G10" s="49"/>
    </row>
    <row r="11" spans="1:7" x14ac:dyDescent="0.2">
      <c r="A11" s="48"/>
      <c r="B11" s="44" t="s">
        <v>117</v>
      </c>
      <c r="D11" s="50">
        <v>110106.20666666667</v>
      </c>
      <c r="E11" s="51">
        <v>0</v>
      </c>
      <c r="F11" s="49" t="s">
        <v>118</v>
      </c>
      <c r="G11" s="49" t="s">
        <v>119</v>
      </c>
    </row>
    <row r="12" spans="1:7" ht="16" customHeight="1" x14ac:dyDescent="0.2">
      <c r="B12" s="42" t="s">
        <v>120</v>
      </c>
      <c r="C12" s="48" t="s">
        <v>121</v>
      </c>
      <c r="D12" s="50">
        <v>635.93999999999994</v>
      </c>
      <c r="E12" s="51">
        <v>0</v>
      </c>
      <c r="F12" s="49" t="s">
        <v>122</v>
      </c>
      <c r="G12" s="49"/>
    </row>
    <row r="13" spans="1:7" x14ac:dyDescent="0.2">
      <c r="B13" s="74" t="s">
        <v>123</v>
      </c>
      <c r="C13" s="48" t="s">
        <v>124</v>
      </c>
      <c r="D13" s="50">
        <v>951.875</v>
      </c>
      <c r="E13" s="51">
        <v>0</v>
      </c>
      <c r="F13" s="49" t="s">
        <v>122</v>
      </c>
      <c r="G13" s="21">
        <v>51592</v>
      </c>
    </row>
    <row r="14" spans="1:7" x14ac:dyDescent="0.2">
      <c r="B14" s="74"/>
      <c r="C14" s="48" t="s">
        <v>125</v>
      </c>
      <c r="D14" s="50">
        <v>454.60833333333335</v>
      </c>
      <c r="E14" s="51">
        <v>0</v>
      </c>
      <c r="F14" s="49" t="s">
        <v>122</v>
      </c>
      <c r="G14" s="52">
        <v>54058</v>
      </c>
    </row>
    <row r="15" spans="1:7" ht="32" customHeight="1" x14ac:dyDescent="0.2">
      <c r="A15" s="48"/>
      <c r="B15" s="42" t="s">
        <v>126</v>
      </c>
      <c r="C15" s="48" t="s">
        <v>121</v>
      </c>
      <c r="D15" s="50">
        <v>596.12833333333333</v>
      </c>
      <c r="E15" s="50">
        <v>324.77500000000003</v>
      </c>
      <c r="F15" s="49" t="s">
        <v>122</v>
      </c>
      <c r="G15" s="21">
        <v>51592</v>
      </c>
    </row>
    <row r="16" spans="1:7" ht="48" customHeight="1" x14ac:dyDescent="0.2">
      <c r="B16" s="75" t="s">
        <v>127</v>
      </c>
      <c r="C16" s="48" t="s">
        <v>124</v>
      </c>
      <c r="D16" s="50">
        <v>912.07666666666671</v>
      </c>
      <c r="E16" s="50">
        <v>722.33166666666659</v>
      </c>
      <c r="F16" s="49" t="s">
        <v>122</v>
      </c>
      <c r="G16" s="21">
        <v>51592</v>
      </c>
    </row>
    <row r="17" spans="2:7" x14ac:dyDescent="0.2">
      <c r="B17" s="75"/>
      <c r="C17" s="48" t="s">
        <v>125</v>
      </c>
      <c r="D17" s="50">
        <v>414.81</v>
      </c>
      <c r="E17" s="50">
        <v>225.06500000000003</v>
      </c>
      <c r="F17" s="49" t="s">
        <v>122</v>
      </c>
      <c r="G17" s="52">
        <v>54058</v>
      </c>
    </row>
    <row r="18" spans="2:7" ht="32" customHeight="1" x14ac:dyDescent="0.2">
      <c r="B18" s="42" t="s">
        <v>128</v>
      </c>
      <c r="C18" s="48" t="s">
        <v>121</v>
      </c>
      <c r="D18" s="50">
        <v>582.86</v>
      </c>
      <c r="E18" s="50">
        <v>437.14499999999998</v>
      </c>
      <c r="F18" s="49" t="s">
        <v>122</v>
      </c>
      <c r="G18" s="21">
        <v>51592</v>
      </c>
    </row>
    <row r="19" spans="2:7" x14ac:dyDescent="0.2">
      <c r="B19" s="74" t="s">
        <v>129</v>
      </c>
      <c r="C19" s="48" t="s">
        <v>124</v>
      </c>
      <c r="D19" s="48">
        <v>898.82833333333338</v>
      </c>
      <c r="E19" s="48">
        <v>798.43833333333339</v>
      </c>
      <c r="F19" s="49" t="s">
        <v>122</v>
      </c>
      <c r="G19" s="21">
        <v>51592</v>
      </c>
    </row>
    <row r="20" spans="2:7" x14ac:dyDescent="0.2">
      <c r="B20" s="74"/>
      <c r="C20" s="48" t="s">
        <v>125</v>
      </c>
      <c r="D20" s="50">
        <v>401.56166666666667</v>
      </c>
      <c r="E20" s="50">
        <v>301.17166666666668</v>
      </c>
      <c r="F20" s="49" t="s">
        <v>122</v>
      </c>
      <c r="G20" s="52">
        <v>54058</v>
      </c>
    </row>
    <row r="21" spans="2:7" x14ac:dyDescent="0.2">
      <c r="C21" s="48"/>
      <c r="D21" s="50"/>
      <c r="E21" s="50"/>
      <c r="F21" s="49"/>
      <c r="G21" s="49"/>
    </row>
    <row r="22" spans="2:7" x14ac:dyDescent="0.2">
      <c r="B22" s="44" t="s">
        <v>130</v>
      </c>
      <c r="C22" s="48" t="s">
        <v>117</v>
      </c>
      <c r="D22" s="50">
        <v>4745.2466666666669</v>
      </c>
      <c r="E22" s="50">
        <v>0</v>
      </c>
      <c r="F22" s="49" t="s">
        <v>118</v>
      </c>
      <c r="G22" s="52">
        <v>51759</v>
      </c>
    </row>
    <row r="23" spans="2:7" x14ac:dyDescent="0.2">
      <c r="C23" s="48"/>
      <c r="D23" s="48"/>
      <c r="E23" s="48"/>
      <c r="F23" s="49"/>
      <c r="G23" s="49"/>
    </row>
  </sheetData>
  <mergeCells count="3">
    <mergeCell ref="B13:B14"/>
    <mergeCell ref="B16:B17"/>
    <mergeCell ref="B19:B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/>
  </sheetPr>
  <dimension ref="B2:C123"/>
  <sheetViews>
    <sheetView zoomScaleNormal="100" workbookViewId="0">
      <selection activeCell="C25" sqref="C25"/>
    </sheetView>
  </sheetViews>
  <sheetFormatPr baseColWidth="10" defaultColWidth="10.83203125" defaultRowHeight="16" customHeight="1" x14ac:dyDescent="0.2"/>
  <cols>
    <col min="1" max="2" width="10.83203125" style="1" customWidth="1"/>
    <col min="3" max="3" width="80.83203125" style="1" customWidth="1"/>
    <col min="4" max="4" width="10.83203125" style="1" customWidth="1"/>
    <col min="5" max="16384" width="10.83203125" style="1"/>
  </cols>
  <sheetData>
    <row r="2" spans="2:3" ht="29" customHeight="1" x14ac:dyDescent="0.2">
      <c r="B2" s="53" t="s">
        <v>85</v>
      </c>
      <c r="C2" s="53" t="s">
        <v>86</v>
      </c>
    </row>
    <row r="3" spans="2:3" x14ac:dyDescent="0.2">
      <c r="B3" s="54" t="s">
        <v>94</v>
      </c>
      <c r="C3" s="54" t="s">
        <v>131</v>
      </c>
    </row>
    <row r="4" spans="2:3" x14ac:dyDescent="0.2">
      <c r="B4" s="54" t="s">
        <v>132</v>
      </c>
      <c r="C4" s="54" t="s">
        <v>133</v>
      </c>
    </row>
    <row r="5" spans="2:3" x14ac:dyDescent="0.2">
      <c r="B5" s="54" t="s">
        <v>97</v>
      </c>
      <c r="C5" s="54" t="s">
        <v>134</v>
      </c>
    </row>
    <row r="6" spans="2:3" x14ac:dyDescent="0.2">
      <c r="B6" s="54" t="s">
        <v>135</v>
      </c>
      <c r="C6" s="6" t="s">
        <v>136</v>
      </c>
    </row>
    <row r="7" spans="2:3" x14ac:dyDescent="0.2">
      <c r="B7" s="54" t="s">
        <v>137</v>
      </c>
      <c r="C7" s="54" t="s">
        <v>138</v>
      </c>
    </row>
    <row r="8" spans="2:3" x14ac:dyDescent="0.2">
      <c r="B8" s="54" t="s">
        <v>139</v>
      </c>
      <c r="C8" s="54" t="s">
        <v>140</v>
      </c>
    </row>
    <row r="9" spans="2:3" x14ac:dyDescent="0.2">
      <c r="B9" s="54" t="s">
        <v>141</v>
      </c>
      <c r="C9" s="54" t="s">
        <v>142</v>
      </c>
    </row>
    <row r="10" spans="2:3" x14ac:dyDescent="0.2">
      <c r="B10" s="54" t="s">
        <v>98</v>
      </c>
      <c r="C10" s="55" t="s">
        <v>143</v>
      </c>
    </row>
    <row r="11" spans="2:3" x14ac:dyDescent="0.2">
      <c r="B11" s="54" t="s">
        <v>144</v>
      </c>
      <c r="C11" s="54" t="s">
        <v>145</v>
      </c>
    </row>
    <row r="12" spans="2:3" x14ac:dyDescent="0.2">
      <c r="B12" s="54" t="s">
        <v>146</v>
      </c>
      <c r="C12" s="54" t="s">
        <v>147</v>
      </c>
    </row>
    <row r="13" spans="2:3" x14ac:dyDescent="0.2">
      <c r="B13" s="54" t="s">
        <v>148</v>
      </c>
      <c r="C13" s="54" t="s">
        <v>149</v>
      </c>
    </row>
    <row r="14" spans="2:3" x14ac:dyDescent="0.2">
      <c r="B14" s="54" t="s">
        <v>150</v>
      </c>
      <c r="C14" s="54" t="s">
        <v>151</v>
      </c>
    </row>
    <row r="15" spans="2:3" x14ac:dyDescent="0.2">
      <c r="B15" s="54" t="s">
        <v>152</v>
      </c>
      <c r="C15" s="54" t="s">
        <v>153</v>
      </c>
    </row>
    <row r="16" spans="2:3" x14ac:dyDescent="0.2">
      <c r="B16" s="54" t="s">
        <v>154</v>
      </c>
      <c r="C16" s="54" t="s">
        <v>155</v>
      </c>
    </row>
    <row r="17" spans="2:3" x14ac:dyDescent="0.2">
      <c r="B17" s="54" t="s">
        <v>156</v>
      </c>
      <c r="C17" s="54" t="s">
        <v>157</v>
      </c>
    </row>
    <row r="18" spans="2:3" x14ac:dyDescent="0.2">
      <c r="B18" s="54" t="s">
        <v>156</v>
      </c>
      <c r="C18" s="54" t="s">
        <v>158</v>
      </c>
    </row>
    <row r="19" spans="2:3" x14ac:dyDescent="0.2">
      <c r="B19" s="54" t="s">
        <v>159</v>
      </c>
      <c r="C19" s="54" t="s">
        <v>160</v>
      </c>
    </row>
    <row r="20" spans="2:3" x14ac:dyDescent="0.2">
      <c r="B20" s="54" t="s">
        <v>161</v>
      </c>
      <c r="C20" s="54" t="s">
        <v>162</v>
      </c>
    </row>
    <row r="21" spans="2:3" x14ac:dyDescent="0.2">
      <c r="B21" s="54" t="s">
        <v>163</v>
      </c>
      <c r="C21" s="54" t="s">
        <v>164</v>
      </c>
    </row>
    <row r="22" spans="2:3" x14ac:dyDescent="0.2">
      <c r="B22" s="54" t="s">
        <v>165</v>
      </c>
      <c r="C22" s="54" t="s">
        <v>166</v>
      </c>
    </row>
    <row r="23" spans="2:3" x14ac:dyDescent="0.2">
      <c r="B23" s="54" t="s">
        <v>167</v>
      </c>
      <c r="C23" s="54" t="s">
        <v>168</v>
      </c>
    </row>
    <row r="24" spans="2:3" x14ac:dyDescent="0.2">
      <c r="B24" s="54" t="s">
        <v>169</v>
      </c>
      <c r="C24" s="54" t="s">
        <v>170</v>
      </c>
    </row>
    <row r="25" spans="2:3" x14ac:dyDescent="0.2">
      <c r="B25" s="54" t="s">
        <v>171</v>
      </c>
      <c r="C25" s="54" t="s">
        <v>172</v>
      </c>
    </row>
    <row r="26" spans="2:3" x14ac:dyDescent="0.2">
      <c r="B26" s="54" t="s">
        <v>173</v>
      </c>
      <c r="C26" s="54" t="s">
        <v>174</v>
      </c>
    </row>
    <row r="27" spans="2:3" x14ac:dyDescent="0.2">
      <c r="B27" s="54" t="s">
        <v>175</v>
      </c>
      <c r="C27" s="54" t="s">
        <v>176</v>
      </c>
    </row>
    <row r="28" spans="2:3" x14ac:dyDescent="0.2">
      <c r="B28" s="54" t="s">
        <v>177</v>
      </c>
      <c r="C28" s="54" t="s">
        <v>178</v>
      </c>
    </row>
    <row r="29" spans="2:3" x14ac:dyDescent="0.2">
      <c r="B29" s="54" t="s">
        <v>179</v>
      </c>
      <c r="C29" s="54" t="s">
        <v>180</v>
      </c>
    </row>
    <row r="30" spans="2:3" x14ac:dyDescent="0.2">
      <c r="B30" s="54" t="s">
        <v>181</v>
      </c>
      <c r="C30" s="54" t="s">
        <v>182</v>
      </c>
    </row>
    <row r="31" spans="2:3" x14ac:dyDescent="0.2">
      <c r="B31" s="54" t="s">
        <v>183</v>
      </c>
      <c r="C31" s="54" t="s">
        <v>184</v>
      </c>
    </row>
    <row r="32" spans="2:3" x14ac:dyDescent="0.2">
      <c r="B32" s="54" t="s">
        <v>185</v>
      </c>
      <c r="C32" s="54" t="s">
        <v>186</v>
      </c>
    </row>
    <row r="33" spans="2:3" x14ac:dyDescent="0.2">
      <c r="B33" s="54" t="s">
        <v>187</v>
      </c>
      <c r="C33" s="54" t="s">
        <v>188</v>
      </c>
    </row>
    <row r="34" spans="2:3" x14ac:dyDescent="0.2">
      <c r="B34" s="54" t="s">
        <v>189</v>
      </c>
      <c r="C34" s="54" t="s">
        <v>190</v>
      </c>
    </row>
    <row r="35" spans="2:3" x14ac:dyDescent="0.2">
      <c r="B35" s="54" t="s">
        <v>191</v>
      </c>
      <c r="C35" s="54" t="s">
        <v>192</v>
      </c>
    </row>
    <row r="36" spans="2:3" x14ac:dyDescent="0.2">
      <c r="B36" s="54" t="s">
        <v>193</v>
      </c>
      <c r="C36" s="54" t="s">
        <v>194</v>
      </c>
    </row>
    <row r="37" spans="2:3" x14ac:dyDescent="0.2">
      <c r="B37" s="54" t="s">
        <v>99</v>
      </c>
      <c r="C37" s="54" t="s">
        <v>195</v>
      </c>
    </row>
    <row r="38" spans="2:3" x14ac:dyDescent="0.2">
      <c r="B38" s="54" t="s">
        <v>196</v>
      </c>
      <c r="C38" s="54" t="s">
        <v>197</v>
      </c>
    </row>
    <row r="39" spans="2:3" x14ac:dyDescent="0.2">
      <c r="B39" s="54" t="s">
        <v>198</v>
      </c>
      <c r="C39" s="54" t="s">
        <v>199</v>
      </c>
    </row>
    <row r="40" spans="2:3" x14ac:dyDescent="0.2">
      <c r="B40" s="54" t="s">
        <v>200</v>
      </c>
      <c r="C40" s="54" t="s">
        <v>201</v>
      </c>
    </row>
    <row r="41" spans="2:3" x14ac:dyDescent="0.2">
      <c r="B41" s="54" t="s">
        <v>202</v>
      </c>
      <c r="C41" s="54" t="s">
        <v>203</v>
      </c>
    </row>
    <row r="42" spans="2:3" x14ac:dyDescent="0.2">
      <c r="B42" s="54" t="s">
        <v>204</v>
      </c>
      <c r="C42" s="54" t="s">
        <v>205</v>
      </c>
    </row>
    <row r="43" spans="2:3" x14ac:dyDescent="0.2">
      <c r="B43" s="54" t="s">
        <v>206</v>
      </c>
      <c r="C43" s="54" t="s">
        <v>207</v>
      </c>
    </row>
    <row r="44" spans="2:3" x14ac:dyDescent="0.2">
      <c r="B44" s="54" t="s">
        <v>208</v>
      </c>
      <c r="C44" s="54" t="s">
        <v>209</v>
      </c>
    </row>
    <row r="45" spans="2:3" x14ac:dyDescent="0.2">
      <c r="B45" s="54" t="s">
        <v>210</v>
      </c>
      <c r="C45" s="54" t="s">
        <v>211</v>
      </c>
    </row>
    <row r="46" spans="2:3" x14ac:dyDescent="0.2">
      <c r="B46" s="54" t="s">
        <v>212</v>
      </c>
      <c r="C46" s="54" t="s">
        <v>213</v>
      </c>
    </row>
    <row r="47" spans="2:3" x14ac:dyDescent="0.2">
      <c r="B47" s="54" t="s">
        <v>214</v>
      </c>
      <c r="C47" s="54" t="s">
        <v>215</v>
      </c>
    </row>
    <row r="48" spans="2:3" x14ac:dyDescent="0.2">
      <c r="B48" s="54" t="s">
        <v>216</v>
      </c>
      <c r="C48" s="54" t="s">
        <v>217</v>
      </c>
    </row>
    <row r="49" spans="2:3" x14ac:dyDescent="0.2">
      <c r="B49" s="54" t="s">
        <v>218</v>
      </c>
      <c r="C49" s="54" t="s">
        <v>219</v>
      </c>
    </row>
    <row r="50" spans="2:3" x14ac:dyDescent="0.2">
      <c r="B50" s="54" t="s">
        <v>220</v>
      </c>
      <c r="C50" s="54" t="s">
        <v>221</v>
      </c>
    </row>
    <row r="51" spans="2:3" x14ac:dyDescent="0.2">
      <c r="B51" s="54" t="s">
        <v>222</v>
      </c>
      <c r="C51" s="54" t="s">
        <v>223</v>
      </c>
    </row>
    <row r="52" spans="2:3" x14ac:dyDescent="0.2">
      <c r="B52" s="54" t="s">
        <v>222</v>
      </c>
      <c r="C52" s="54" t="s">
        <v>224</v>
      </c>
    </row>
    <row r="53" spans="2:3" x14ac:dyDescent="0.2">
      <c r="B53" s="54" t="s">
        <v>222</v>
      </c>
      <c r="C53" s="56" t="s">
        <v>224</v>
      </c>
    </row>
    <row r="54" spans="2:3" x14ac:dyDescent="0.2">
      <c r="B54" s="54" t="s">
        <v>225</v>
      </c>
      <c r="C54" s="54" t="s">
        <v>226</v>
      </c>
    </row>
    <row r="55" spans="2:3" x14ac:dyDescent="0.2">
      <c r="B55" s="54" t="s">
        <v>227</v>
      </c>
      <c r="C55" s="54" t="s">
        <v>228</v>
      </c>
    </row>
    <row r="56" spans="2:3" x14ac:dyDescent="0.2">
      <c r="B56" s="54" t="s">
        <v>229</v>
      </c>
      <c r="C56" s="54" t="s">
        <v>230</v>
      </c>
    </row>
    <row r="57" spans="2:3" x14ac:dyDescent="0.2">
      <c r="B57" s="54" t="s">
        <v>231</v>
      </c>
      <c r="C57" s="54" t="s">
        <v>232</v>
      </c>
    </row>
    <row r="58" spans="2:3" x14ac:dyDescent="0.2">
      <c r="B58" s="54" t="s">
        <v>233</v>
      </c>
      <c r="C58" s="54" t="s">
        <v>234</v>
      </c>
    </row>
    <row r="59" spans="2:3" x14ac:dyDescent="0.2">
      <c r="B59" s="54" t="s">
        <v>235</v>
      </c>
      <c r="C59" s="54" t="s">
        <v>236</v>
      </c>
    </row>
    <row r="60" spans="2:3" x14ac:dyDescent="0.2">
      <c r="B60" s="54" t="s">
        <v>237</v>
      </c>
      <c r="C60" s="54" t="s">
        <v>238</v>
      </c>
    </row>
    <row r="61" spans="2:3" x14ac:dyDescent="0.2">
      <c r="B61" s="54" t="s">
        <v>239</v>
      </c>
      <c r="C61" s="54" t="s">
        <v>240</v>
      </c>
    </row>
    <row r="62" spans="2:3" x14ac:dyDescent="0.2">
      <c r="B62" s="54" t="s">
        <v>241</v>
      </c>
      <c r="C62" s="54" t="s">
        <v>242</v>
      </c>
    </row>
    <row r="63" spans="2:3" x14ac:dyDescent="0.2">
      <c r="B63" s="54" t="s">
        <v>243</v>
      </c>
      <c r="C63" s="54" t="s">
        <v>244</v>
      </c>
    </row>
    <row r="64" spans="2:3" x14ac:dyDescent="0.2">
      <c r="B64" s="54" t="s">
        <v>245</v>
      </c>
      <c r="C64" s="54" t="s">
        <v>246</v>
      </c>
    </row>
    <row r="65" spans="2:3" x14ac:dyDescent="0.2">
      <c r="B65" s="54" t="s">
        <v>247</v>
      </c>
      <c r="C65" s="54" t="s">
        <v>248</v>
      </c>
    </row>
    <row r="66" spans="2:3" x14ac:dyDescent="0.2">
      <c r="B66" s="54" t="s">
        <v>249</v>
      </c>
      <c r="C66" s="54" t="s">
        <v>250</v>
      </c>
    </row>
    <row r="67" spans="2:3" x14ac:dyDescent="0.2">
      <c r="B67" s="54" t="s">
        <v>251</v>
      </c>
      <c r="C67" s="54" t="s">
        <v>252</v>
      </c>
    </row>
    <row r="68" spans="2:3" x14ac:dyDescent="0.2">
      <c r="B68" s="54" t="s">
        <v>253</v>
      </c>
      <c r="C68" s="54" t="s">
        <v>254</v>
      </c>
    </row>
    <row r="69" spans="2:3" x14ac:dyDescent="0.2">
      <c r="B69" s="54" t="s">
        <v>255</v>
      </c>
      <c r="C69" s="54" t="s">
        <v>256</v>
      </c>
    </row>
    <row r="70" spans="2:3" x14ac:dyDescent="0.2">
      <c r="B70" s="54" t="s">
        <v>257</v>
      </c>
      <c r="C70" s="54" t="s">
        <v>213</v>
      </c>
    </row>
    <row r="71" spans="2:3" x14ac:dyDescent="0.2">
      <c r="B71" s="54" t="s">
        <v>258</v>
      </c>
      <c r="C71" s="54" t="s">
        <v>259</v>
      </c>
    </row>
    <row r="72" spans="2:3" x14ac:dyDescent="0.2">
      <c r="B72" s="54" t="s">
        <v>100</v>
      </c>
      <c r="C72" s="54" t="s">
        <v>260</v>
      </c>
    </row>
    <row r="73" spans="2:3" x14ac:dyDescent="0.2">
      <c r="B73" s="54" t="s">
        <v>261</v>
      </c>
      <c r="C73" s="54" t="s">
        <v>262</v>
      </c>
    </row>
    <row r="74" spans="2:3" x14ac:dyDescent="0.2">
      <c r="B74" s="54" t="s">
        <v>263</v>
      </c>
      <c r="C74" s="54" t="s">
        <v>264</v>
      </c>
    </row>
    <row r="75" spans="2:3" x14ac:dyDescent="0.2">
      <c r="B75" s="54" t="s">
        <v>265</v>
      </c>
      <c r="C75" s="54" t="s">
        <v>266</v>
      </c>
    </row>
    <row r="76" spans="2:3" x14ac:dyDescent="0.2">
      <c r="B76" s="54" t="s">
        <v>267</v>
      </c>
      <c r="C76" s="54" t="s">
        <v>268</v>
      </c>
    </row>
    <row r="77" spans="2:3" x14ac:dyDescent="0.2">
      <c r="B77" s="54" t="s">
        <v>101</v>
      </c>
      <c r="C77" s="54" t="s">
        <v>269</v>
      </c>
    </row>
    <row r="78" spans="2:3" x14ac:dyDescent="0.2">
      <c r="B78" s="54" t="s">
        <v>102</v>
      </c>
      <c r="C78" s="54" t="s">
        <v>270</v>
      </c>
    </row>
    <row r="79" spans="2:3" x14ac:dyDescent="0.2">
      <c r="B79" s="54" t="s">
        <v>102</v>
      </c>
      <c r="C79" s="54" t="s">
        <v>271</v>
      </c>
    </row>
    <row r="80" spans="2:3" x14ac:dyDescent="0.2">
      <c r="B80" s="54" t="s">
        <v>103</v>
      </c>
      <c r="C80" s="54" t="s">
        <v>272</v>
      </c>
    </row>
    <row r="81" spans="2:3" x14ac:dyDescent="0.2">
      <c r="B81" s="54" t="s">
        <v>273</v>
      </c>
      <c r="C81" s="54" t="s">
        <v>274</v>
      </c>
    </row>
    <row r="82" spans="2:3" x14ac:dyDescent="0.2">
      <c r="B82" s="54" t="s">
        <v>275</v>
      </c>
      <c r="C82" s="54" t="s">
        <v>276</v>
      </c>
    </row>
    <row r="83" spans="2:3" x14ac:dyDescent="0.2">
      <c r="B83" s="54" t="s">
        <v>277</v>
      </c>
      <c r="C83" s="54" t="s">
        <v>278</v>
      </c>
    </row>
    <row r="84" spans="2:3" x14ac:dyDescent="0.2">
      <c r="B84" s="54" t="s">
        <v>279</v>
      </c>
      <c r="C84" s="54" t="s">
        <v>280</v>
      </c>
    </row>
    <row r="85" spans="2:3" x14ac:dyDescent="0.2">
      <c r="B85" s="54" t="s">
        <v>281</v>
      </c>
      <c r="C85" s="54" t="s">
        <v>282</v>
      </c>
    </row>
    <row r="86" spans="2:3" x14ac:dyDescent="0.2">
      <c r="B86" s="54" t="s">
        <v>283</v>
      </c>
      <c r="C86" s="54" t="s">
        <v>284</v>
      </c>
    </row>
    <row r="87" spans="2:3" x14ac:dyDescent="0.2">
      <c r="B87" s="54" t="s">
        <v>285</v>
      </c>
      <c r="C87" s="54" t="s">
        <v>286</v>
      </c>
    </row>
    <row r="88" spans="2:3" x14ac:dyDescent="0.2">
      <c r="B88" s="54" t="s">
        <v>287</v>
      </c>
      <c r="C88" s="54" t="s">
        <v>288</v>
      </c>
    </row>
    <row r="89" spans="2:3" x14ac:dyDescent="0.2">
      <c r="B89" s="54" t="s">
        <v>289</v>
      </c>
      <c r="C89" s="54" t="s">
        <v>290</v>
      </c>
    </row>
    <row r="90" spans="2:3" x14ac:dyDescent="0.2">
      <c r="B90" s="54" t="s">
        <v>291</v>
      </c>
      <c r="C90" s="54" t="s">
        <v>292</v>
      </c>
    </row>
    <row r="91" spans="2:3" x14ac:dyDescent="0.2">
      <c r="B91" s="54" t="s">
        <v>293</v>
      </c>
      <c r="C91" s="54" t="s">
        <v>294</v>
      </c>
    </row>
    <row r="92" spans="2:3" x14ac:dyDescent="0.2">
      <c r="B92" s="54" t="s">
        <v>295</v>
      </c>
      <c r="C92" s="54" t="s">
        <v>296</v>
      </c>
    </row>
    <row r="93" spans="2:3" x14ac:dyDescent="0.2">
      <c r="B93" s="54" t="s">
        <v>297</v>
      </c>
      <c r="C93" s="54" t="s">
        <v>298</v>
      </c>
    </row>
    <row r="94" spans="2:3" x14ac:dyDescent="0.2">
      <c r="B94" s="54" t="s">
        <v>299</v>
      </c>
      <c r="C94" s="54" t="s">
        <v>300</v>
      </c>
    </row>
    <row r="95" spans="2:3" x14ac:dyDescent="0.2">
      <c r="B95" s="54" t="s">
        <v>301</v>
      </c>
      <c r="C95" s="54" t="s">
        <v>302</v>
      </c>
    </row>
    <row r="96" spans="2:3" x14ac:dyDescent="0.2">
      <c r="B96" s="54" t="s">
        <v>303</v>
      </c>
      <c r="C96" s="54" t="s">
        <v>304</v>
      </c>
    </row>
    <row r="97" spans="2:3" x14ac:dyDescent="0.2">
      <c r="B97" s="54" t="s">
        <v>305</v>
      </c>
      <c r="C97" s="54" t="s">
        <v>306</v>
      </c>
    </row>
    <row r="98" spans="2:3" x14ac:dyDescent="0.2">
      <c r="B98" s="54" t="s">
        <v>307</v>
      </c>
      <c r="C98" s="54" t="s">
        <v>308</v>
      </c>
    </row>
    <row r="99" spans="2:3" x14ac:dyDescent="0.2">
      <c r="B99" s="54" t="s">
        <v>309</v>
      </c>
      <c r="C99" s="54" t="s">
        <v>310</v>
      </c>
    </row>
    <row r="100" spans="2:3" x14ac:dyDescent="0.2">
      <c r="B100" s="54" t="s">
        <v>311</v>
      </c>
      <c r="C100" s="54" t="s">
        <v>312</v>
      </c>
    </row>
    <row r="101" spans="2:3" x14ac:dyDescent="0.2">
      <c r="B101" s="54" t="s">
        <v>313</v>
      </c>
      <c r="C101" s="54" t="s">
        <v>314</v>
      </c>
    </row>
    <row r="102" spans="2:3" x14ac:dyDescent="0.2">
      <c r="B102" s="54" t="s">
        <v>315</v>
      </c>
      <c r="C102" s="54" t="s">
        <v>316</v>
      </c>
    </row>
    <row r="103" spans="2:3" x14ac:dyDescent="0.2">
      <c r="B103" s="54" t="s">
        <v>317</v>
      </c>
      <c r="C103" s="54" t="s">
        <v>318</v>
      </c>
    </row>
    <row r="104" spans="2:3" x14ac:dyDescent="0.2">
      <c r="B104" s="54" t="s">
        <v>319</v>
      </c>
      <c r="C104" s="54" t="s">
        <v>320</v>
      </c>
    </row>
    <row r="105" spans="2:3" x14ac:dyDescent="0.2">
      <c r="B105" s="54" t="s">
        <v>321</v>
      </c>
      <c r="C105" s="54" t="s">
        <v>322</v>
      </c>
    </row>
    <row r="106" spans="2:3" x14ac:dyDescent="0.2">
      <c r="B106" s="54" t="s">
        <v>323</v>
      </c>
      <c r="C106" s="54" t="s">
        <v>324</v>
      </c>
    </row>
    <row r="107" spans="2:3" x14ac:dyDescent="0.2">
      <c r="B107" s="54" t="s">
        <v>325</v>
      </c>
      <c r="C107" s="54" t="s">
        <v>326</v>
      </c>
    </row>
    <row r="108" spans="2:3" x14ac:dyDescent="0.2">
      <c r="B108" s="54" t="s">
        <v>327</v>
      </c>
      <c r="C108" s="54" t="s">
        <v>328</v>
      </c>
    </row>
    <row r="109" spans="2:3" x14ac:dyDescent="0.2">
      <c r="B109" s="54" t="s">
        <v>329</v>
      </c>
      <c r="C109" s="54" t="s">
        <v>330</v>
      </c>
    </row>
    <row r="110" spans="2:3" x14ac:dyDescent="0.2">
      <c r="B110" s="54" t="s">
        <v>331</v>
      </c>
      <c r="C110" s="54" t="s">
        <v>332</v>
      </c>
    </row>
    <row r="111" spans="2:3" x14ac:dyDescent="0.2">
      <c r="B111" s="54" t="s">
        <v>333</v>
      </c>
      <c r="C111" s="54" t="s">
        <v>334</v>
      </c>
    </row>
    <row r="112" spans="2:3" x14ac:dyDescent="0.2">
      <c r="B112" s="54" t="s">
        <v>335</v>
      </c>
      <c r="C112" s="54" t="s">
        <v>336</v>
      </c>
    </row>
    <row r="113" spans="2:3" x14ac:dyDescent="0.2">
      <c r="B113" s="54" t="s">
        <v>337</v>
      </c>
      <c r="C113" s="54" t="s">
        <v>338</v>
      </c>
    </row>
    <row r="114" spans="2:3" x14ac:dyDescent="0.2">
      <c r="B114" s="54" t="s">
        <v>339</v>
      </c>
      <c r="C114" s="54" t="s">
        <v>340</v>
      </c>
    </row>
    <row r="115" spans="2:3" x14ac:dyDescent="0.2">
      <c r="B115" s="54" t="s">
        <v>341</v>
      </c>
      <c r="C115" s="54" t="s">
        <v>342</v>
      </c>
    </row>
    <row r="116" spans="2:3" x14ac:dyDescent="0.2">
      <c r="B116" s="54" t="s">
        <v>343</v>
      </c>
      <c r="C116" s="54" t="s">
        <v>344</v>
      </c>
    </row>
    <row r="117" spans="2:3" x14ac:dyDescent="0.2">
      <c r="B117" s="54" t="s">
        <v>345</v>
      </c>
      <c r="C117" s="54" t="s">
        <v>346</v>
      </c>
    </row>
    <row r="118" spans="2:3" x14ac:dyDescent="0.2">
      <c r="B118" s="54" t="s">
        <v>347</v>
      </c>
      <c r="C118" s="54" t="s">
        <v>348</v>
      </c>
    </row>
    <row r="119" spans="2:3" x14ac:dyDescent="0.2">
      <c r="B119" s="54" t="s">
        <v>349</v>
      </c>
      <c r="C119" s="54" t="s">
        <v>350</v>
      </c>
    </row>
    <row r="120" spans="2:3" x14ac:dyDescent="0.2">
      <c r="B120" s="54" t="s">
        <v>351</v>
      </c>
      <c r="C120" s="54" t="s">
        <v>352</v>
      </c>
    </row>
    <row r="121" spans="2:3" x14ac:dyDescent="0.2">
      <c r="B121" s="54" t="s">
        <v>353</v>
      </c>
      <c r="C121" s="54" t="s">
        <v>354</v>
      </c>
    </row>
    <row r="122" spans="2:3" x14ac:dyDescent="0.2">
      <c r="B122" s="54" t="s">
        <v>355</v>
      </c>
      <c r="C122" s="54" t="s">
        <v>356</v>
      </c>
    </row>
    <row r="123" spans="2:3" x14ac:dyDescent="0.2">
      <c r="B123" s="57" t="s">
        <v>357</v>
      </c>
      <c r="C123" s="57" t="s">
        <v>358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D512-D4B9-FD42-B32B-D76A72D3B332}">
  <dimension ref="A1:E37"/>
  <sheetViews>
    <sheetView workbookViewId="0">
      <selection activeCell="J43" sqref="J43"/>
    </sheetView>
  </sheetViews>
  <sheetFormatPr baseColWidth="10" defaultRowHeight="16" x14ac:dyDescent="0.2"/>
  <cols>
    <col min="1" max="1" width="28.83203125" style="63" customWidth="1"/>
    <col min="2" max="2" width="10.83203125" style="63" customWidth="1"/>
    <col min="3" max="3" width="8.83203125" style="63" customWidth="1"/>
    <col min="4" max="4" width="10.83203125" style="63" customWidth="1"/>
    <col min="5" max="5" width="50.83203125" style="63" customWidth="1"/>
    <col min="6" max="16384" width="10.83203125" style="63"/>
  </cols>
  <sheetData>
    <row r="1" spans="1:5" x14ac:dyDescent="0.2">
      <c r="A1" s="63" t="s">
        <v>393</v>
      </c>
      <c r="B1" s="63" t="s">
        <v>438</v>
      </c>
      <c r="C1" s="63" t="s">
        <v>439</v>
      </c>
      <c r="D1" s="63" t="s">
        <v>440</v>
      </c>
      <c r="E1" s="63" t="s">
        <v>441</v>
      </c>
    </row>
    <row r="2" spans="1:5" x14ac:dyDescent="0.2">
      <c r="A2" s="63" t="s">
        <v>399</v>
      </c>
      <c r="B2" s="63" t="s">
        <v>442</v>
      </c>
      <c r="C2" s="63" t="s">
        <v>443</v>
      </c>
      <c r="D2" s="63" t="s">
        <v>95</v>
      </c>
      <c r="E2" s="63" t="s">
        <v>444</v>
      </c>
    </row>
    <row r="3" spans="1:5" x14ac:dyDescent="0.2">
      <c r="A3" s="63" t="s">
        <v>400</v>
      </c>
      <c r="B3" s="63" t="s">
        <v>445</v>
      </c>
      <c r="C3" s="63" t="s">
        <v>443</v>
      </c>
      <c r="D3" s="63" t="s">
        <v>95</v>
      </c>
      <c r="E3" s="63" t="s">
        <v>444</v>
      </c>
    </row>
    <row r="4" spans="1:5" x14ac:dyDescent="0.2">
      <c r="A4" s="63" t="s">
        <v>398</v>
      </c>
      <c r="B4" s="63" t="s">
        <v>446</v>
      </c>
      <c r="C4" s="63" t="s">
        <v>443</v>
      </c>
      <c r="D4" s="63" t="s">
        <v>95</v>
      </c>
      <c r="E4" s="63" t="s">
        <v>444</v>
      </c>
    </row>
    <row r="5" spans="1:5" x14ac:dyDescent="0.2">
      <c r="A5" s="63" t="s">
        <v>411</v>
      </c>
      <c r="B5" s="63" t="s">
        <v>447</v>
      </c>
      <c r="C5" s="63" t="s">
        <v>443</v>
      </c>
      <c r="D5" s="63" t="s">
        <v>95</v>
      </c>
      <c r="E5" s="63" t="s">
        <v>444</v>
      </c>
    </row>
    <row r="6" spans="1:5" x14ac:dyDescent="0.2">
      <c r="A6" s="63" t="s">
        <v>410</v>
      </c>
      <c r="B6" s="63" t="s">
        <v>448</v>
      </c>
      <c r="C6" s="63" t="s">
        <v>443</v>
      </c>
      <c r="D6" s="63" t="s">
        <v>95</v>
      </c>
      <c r="E6" s="63" t="s">
        <v>444</v>
      </c>
    </row>
    <row r="7" spans="1:5" x14ac:dyDescent="0.2">
      <c r="A7" s="63" t="s">
        <v>404</v>
      </c>
      <c r="B7" s="63" t="s">
        <v>449</v>
      </c>
      <c r="C7" s="63" t="s">
        <v>443</v>
      </c>
      <c r="D7" s="63" t="s">
        <v>95</v>
      </c>
      <c r="E7" s="63" t="s">
        <v>444</v>
      </c>
    </row>
    <row r="8" spans="1:5" x14ac:dyDescent="0.2">
      <c r="A8" s="63" t="s">
        <v>402</v>
      </c>
      <c r="B8" s="63" t="s">
        <v>450</v>
      </c>
      <c r="C8" s="63" t="s">
        <v>443</v>
      </c>
      <c r="D8" s="63" t="s">
        <v>95</v>
      </c>
      <c r="E8" s="63" t="s">
        <v>444</v>
      </c>
    </row>
    <row r="9" spans="1:5" x14ac:dyDescent="0.2">
      <c r="A9" s="63" t="s">
        <v>401</v>
      </c>
      <c r="B9" s="63" t="s">
        <v>451</v>
      </c>
      <c r="C9" s="63" t="s">
        <v>443</v>
      </c>
      <c r="D9" s="63" t="s">
        <v>95</v>
      </c>
      <c r="E9" s="63" t="s">
        <v>444</v>
      </c>
    </row>
    <row r="10" spans="1:5" x14ac:dyDescent="0.2">
      <c r="A10" s="63" t="s">
        <v>396</v>
      </c>
      <c r="B10" s="63" t="s">
        <v>452</v>
      </c>
      <c r="C10" s="63" t="s">
        <v>443</v>
      </c>
      <c r="D10" s="63" t="s">
        <v>95</v>
      </c>
      <c r="E10" s="63" t="s">
        <v>453</v>
      </c>
    </row>
    <row r="11" spans="1:5" x14ac:dyDescent="0.2">
      <c r="A11" s="63" t="s">
        <v>403</v>
      </c>
      <c r="B11" s="63" t="s">
        <v>454</v>
      </c>
      <c r="C11" s="63" t="s">
        <v>443</v>
      </c>
      <c r="D11" s="63" t="s">
        <v>95</v>
      </c>
      <c r="E11" s="63" t="s">
        <v>455</v>
      </c>
    </row>
    <row r="12" spans="1:5" x14ac:dyDescent="0.2">
      <c r="A12" s="63" t="s">
        <v>406</v>
      </c>
      <c r="B12" s="63" t="s">
        <v>454</v>
      </c>
      <c r="C12" s="63" t="s">
        <v>443</v>
      </c>
      <c r="D12" s="63" t="s">
        <v>95</v>
      </c>
      <c r="E12" s="63" t="s">
        <v>456</v>
      </c>
    </row>
    <row r="13" spans="1:5" x14ac:dyDescent="0.2">
      <c r="A13" s="63" t="s">
        <v>409</v>
      </c>
      <c r="B13" s="63" t="s">
        <v>457</v>
      </c>
      <c r="C13" s="63" t="s">
        <v>443</v>
      </c>
      <c r="D13" s="63" t="s">
        <v>95</v>
      </c>
      <c r="E13" s="63" t="s">
        <v>444</v>
      </c>
    </row>
    <row r="14" spans="1:5" x14ac:dyDescent="0.2">
      <c r="A14" s="63" t="s">
        <v>415</v>
      </c>
      <c r="B14" s="63" t="s">
        <v>458</v>
      </c>
      <c r="C14" s="63" t="s">
        <v>443</v>
      </c>
      <c r="D14" s="63" t="s">
        <v>95</v>
      </c>
      <c r="E14" s="63" t="s">
        <v>444</v>
      </c>
    </row>
    <row r="15" spans="1:5" x14ac:dyDescent="0.2">
      <c r="A15" s="63" t="s">
        <v>417</v>
      </c>
      <c r="B15" s="63" t="s">
        <v>459</v>
      </c>
      <c r="C15" s="63" t="s">
        <v>443</v>
      </c>
      <c r="D15" s="63" t="s">
        <v>457</v>
      </c>
      <c r="E15" s="63" t="s">
        <v>460</v>
      </c>
    </row>
    <row r="16" spans="1:5" x14ac:dyDescent="0.2">
      <c r="A16" s="63" t="s">
        <v>416</v>
      </c>
      <c r="B16" s="63" t="s">
        <v>461</v>
      </c>
      <c r="C16" s="63" t="s">
        <v>443</v>
      </c>
      <c r="D16" s="63" t="s">
        <v>458</v>
      </c>
      <c r="E16" s="63" t="s">
        <v>460</v>
      </c>
    </row>
    <row r="17" spans="1:5" x14ac:dyDescent="0.2">
      <c r="A17" s="63" t="s">
        <v>425</v>
      </c>
      <c r="B17" s="63" t="s">
        <v>445</v>
      </c>
      <c r="C17" s="63" t="s">
        <v>462</v>
      </c>
      <c r="D17" s="63" t="s">
        <v>95</v>
      </c>
      <c r="E17" s="63" t="s">
        <v>463</v>
      </c>
    </row>
    <row r="18" spans="1:5" x14ac:dyDescent="0.2">
      <c r="A18" s="63" t="s">
        <v>429</v>
      </c>
      <c r="B18" s="63" t="s">
        <v>445</v>
      </c>
      <c r="C18" s="63" t="s">
        <v>462</v>
      </c>
      <c r="D18" s="63" t="s">
        <v>95</v>
      </c>
      <c r="E18" s="63" t="s">
        <v>463</v>
      </c>
    </row>
    <row r="19" spans="1:5" x14ac:dyDescent="0.2">
      <c r="A19" s="63" t="s">
        <v>433</v>
      </c>
      <c r="B19" s="63" t="s">
        <v>464</v>
      </c>
      <c r="C19" s="63" t="s">
        <v>462</v>
      </c>
      <c r="D19" s="63" t="s">
        <v>95</v>
      </c>
      <c r="E19" s="63" t="s">
        <v>465</v>
      </c>
    </row>
    <row r="20" spans="1:5" x14ac:dyDescent="0.2">
      <c r="A20" s="63" t="s">
        <v>422</v>
      </c>
      <c r="B20" s="63" t="s">
        <v>466</v>
      </c>
      <c r="C20" s="63" t="s">
        <v>462</v>
      </c>
      <c r="D20" s="63" t="s">
        <v>95</v>
      </c>
      <c r="E20" s="63" t="s">
        <v>467</v>
      </c>
    </row>
    <row r="21" spans="1:5" x14ac:dyDescent="0.2">
      <c r="A21" s="63" t="s">
        <v>419</v>
      </c>
      <c r="B21" s="63" t="s">
        <v>466</v>
      </c>
      <c r="C21" s="63" t="s">
        <v>462</v>
      </c>
      <c r="D21" s="63" t="s">
        <v>95</v>
      </c>
      <c r="E21" s="63" t="s">
        <v>467</v>
      </c>
    </row>
    <row r="22" spans="1:5" x14ac:dyDescent="0.2">
      <c r="A22" s="63" t="s">
        <v>421</v>
      </c>
      <c r="B22" s="63" t="s">
        <v>468</v>
      </c>
      <c r="C22" s="63" t="s">
        <v>462</v>
      </c>
      <c r="D22" s="63" t="s">
        <v>95</v>
      </c>
      <c r="E22" s="63" t="s">
        <v>469</v>
      </c>
    </row>
    <row r="23" spans="1:5" x14ac:dyDescent="0.2">
      <c r="A23" s="63" t="s">
        <v>418</v>
      </c>
      <c r="B23" s="63" t="s">
        <v>468</v>
      </c>
      <c r="C23" s="63" t="s">
        <v>462</v>
      </c>
      <c r="D23" s="63" t="s">
        <v>95</v>
      </c>
      <c r="E23" s="63" t="s">
        <v>469</v>
      </c>
    </row>
    <row r="24" spans="1:5" x14ac:dyDescent="0.2">
      <c r="A24" s="63" t="s">
        <v>424</v>
      </c>
      <c r="B24" s="63" t="s">
        <v>466</v>
      </c>
      <c r="C24" s="63" t="s">
        <v>462</v>
      </c>
      <c r="D24" s="63" t="s">
        <v>95</v>
      </c>
      <c r="E24" s="63" t="s">
        <v>470</v>
      </c>
    </row>
    <row r="25" spans="1:5" x14ac:dyDescent="0.2">
      <c r="A25" s="63" t="s">
        <v>423</v>
      </c>
      <c r="B25" s="63" t="s">
        <v>468</v>
      </c>
      <c r="C25" s="63" t="s">
        <v>462</v>
      </c>
      <c r="D25" s="63" t="s">
        <v>95</v>
      </c>
      <c r="E25" s="63" t="s">
        <v>471</v>
      </c>
    </row>
    <row r="26" spans="1:5" x14ac:dyDescent="0.2">
      <c r="A26" s="63" t="s">
        <v>428</v>
      </c>
      <c r="B26" s="63" t="s">
        <v>472</v>
      </c>
      <c r="C26" s="63" t="s">
        <v>462</v>
      </c>
      <c r="D26" s="63" t="s">
        <v>95</v>
      </c>
      <c r="E26" s="63" t="s">
        <v>473</v>
      </c>
    </row>
    <row r="27" spans="1:5" x14ac:dyDescent="0.2">
      <c r="A27" s="63" t="s">
        <v>426</v>
      </c>
      <c r="B27" s="63" t="s">
        <v>472</v>
      </c>
      <c r="C27" s="63" t="s">
        <v>462</v>
      </c>
      <c r="D27" s="63" t="s">
        <v>95</v>
      </c>
      <c r="E27" s="63" t="s">
        <v>474</v>
      </c>
    </row>
    <row r="28" spans="1:5" x14ac:dyDescent="0.2">
      <c r="A28" s="63" t="s">
        <v>427</v>
      </c>
      <c r="B28" s="63" t="s">
        <v>475</v>
      </c>
      <c r="C28" s="63" t="s">
        <v>462</v>
      </c>
      <c r="D28" s="63" t="s">
        <v>95</v>
      </c>
      <c r="E28" s="63" t="s">
        <v>476</v>
      </c>
    </row>
    <row r="29" spans="1:5" x14ac:dyDescent="0.2">
      <c r="A29" s="63" t="s">
        <v>414</v>
      </c>
      <c r="B29" s="63" t="s">
        <v>475</v>
      </c>
      <c r="C29" s="63" t="s">
        <v>462</v>
      </c>
      <c r="D29" s="63" t="s">
        <v>95</v>
      </c>
      <c r="E29" s="63" t="s">
        <v>477</v>
      </c>
    </row>
    <row r="30" spans="1:5" x14ac:dyDescent="0.2">
      <c r="A30" s="63" t="s">
        <v>413</v>
      </c>
      <c r="B30" s="63" t="s">
        <v>478</v>
      </c>
      <c r="C30" s="63" t="s">
        <v>462</v>
      </c>
      <c r="D30" s="63" t="s">
        <v>95</v>
      </c>
      <c r="E30" s="63" t="s">
        <v>479</v>
      </c>
    </row>
    <row r="31" spans="1:5" x14ac:dyDescent="0.2">
      <c r="A31" s="63" t="s">
        <v>432</v>
      </c>
      <c r="B31" s="63" t="s">
        <v>480</v>
      </c>
      <c r="C31" s="63" t="s">
        <v>462</v>
      </c>
      <c r="D31" s="63" t="s">
        <v>95</v>
      </c>
      <c r="E31" s="63" t="s">
        <v>481</v>
      </c>
    </row>
    <row r="32" spans="1:5" x14ac:dyDescent="0.2">
      <c r="A32" s="63" t="s">
        <v>392</v>
      </c>
      <c r="B32" s="63" t="s">
        <v>482</v>
      </c>
      <c r="C32" s="63" t="s">
        <v>462</v>
      </c>
      <c r="D32" s="63" t="s">
        <v>95</v>
      </c>
      <c r="E32" s="63" t="s">
        <v>483</v>
      </c>
    </row>
    <row r="33" spans="1:5" x14ac:dyDescent="0.2">
      <c r="A33" s="63" t="s">
        <v>431</v>
      </c>
      <c r="B33" s="63" t="s">
        <v>484</v>
      </c>
      <c r="C33" s="63" t="s">
        <v>462</v>
      </c>
      <c r="D33" s="63" t="s">
        <v>95</v>
      </c>
      <c r="E33" s="63" t="s">
        <v>485</v>
      </c>
    </row>
    <row r="34" spans="1:5" x14ac:dyDescent="0.2">
      <c r="A34" s="63" t="s">
        <v>430</v>
      </c>
      <c r="B34" s="63" t="s">
        <v>486</v>
      </c>
      <c r="C34" s="63" t="s">
        <v>462</v>
      </c>
      <c r="D34" s="63" t="s">
        <v>95</v>
      </c>
      <c r="E34" s="63" t="s">
        <v>487</v>
      </c>
    </row>
    <row r="35" spans="1:5" x14ac:dyDescent="0.2">
      <c r="A35" s="63" t="s">
        <v>435</v>
      </c>
      <c r="B35" s="63" t="s">
        <v>488</v>
      </c>
      <c r="C35" s="63" t="s">
        <v>462</v>
      </c>
      <c r="D35" s="63" t="s">
        <v>95</v>
      </c>
      <c r="E35" s="63" t="s">
        <v>489</v>
      </c>
    </row>
    <row r="36" spans="1:5" x14ac:dyDescent="0.2">
      <c r="A36" s="63" t="s">
        <v>434</v>
      </c>
      <c r="B36" s="63" t="s">
        <v>490</v>
      </c>
      <c r="C36" s="63" t="s">
        <v>462</v>
      </c>
      <c r="D36" s="63" t="s">
        <v>95</v>
      </c>
      <c r="E36" s="63" t="s">
        <v>491</v>
      </c>
    </row>
    <row r="37" spans="1:5" x14ac:dyDescent="0.2">
      <c r="A37" s="63" t="s">
        <v>405</v>
      </c>
      <c r="B37" s="63" t="s">
        <v>99</v>
      </c>
      <c r="C37" s="63" t="s">
        <v>462</v>
      </c>
      <c r="D37" s="63" t="s">
        <v>95</v>
      </c>
      <c r="E37" s="63" t="s">
        <v>492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"/>
  <sheetViews>
    <sheetView workbookViewId="0">
      <selection activeCell="I14" sqref="I14"/>
    </sheetView>
  </sheetViews>
  <sheetFormatPr baseColWidth="10" defaultColWidth="8.83203125" defaultRowHeight="15" x14ac:dyDescent="0.2"/>
  <cols>
    <col min="1" max="1" width="14" customWidth="1"/>
    <col min="2" max="2" width="32" customWidth="1"/>
    <col min="3" max="3" width="18" customWidth="1"/>
    <col min="4" max="4" width="14" style="58" customWidth="1"/>
  </cols>
  <sheetData>
    <row r="1" spans="1:4" s="59" customFormat="1" x14ac:dyDescent="0.2">
      <c r="A1" s="59" t="s">
        <v>359</v>
      </c>
      <c r="B1" s="59" t="s">
        <v>360</v>
      </c>
      <c r="C1" s="59" t="s">
        <v>361</v>
      </c>
      <c r="D1" s="60" t="s">
        <v>362</v>
      </c>
    </row>
    <row r="2" spans="1:4" x14ac:dyDescent="0.2">
      <c r="A2" s="61">
        <v>44997.5</v>
      </c>
      <c r="B2" t="s">
        <v>363</v>
      </c>
      <c r="C2" t="s">
        <v>364</v>
      </c>
      <c r="D2" s="58">
        <v>1500</v>
      </c>
    </row>
    <row r="3" spans="1:4" x14ac:dyDescent="0.2">
      <c r="A3" s="61">
        <v>45050.5</v>
      </c>
      <c r="B3" t="s">
        <v>365</v>
      </c>
      <c r="C3" t="s">
        <v>366</v>
      </c>
      <c r="D3" s="58">
        <v>750</v>
      </c>
    </row>
    <row r="4" spans="1:4" x14ac:dyDescent="0.2">
      <c r="A4" s="61">
        <v>45129.5</v>
      </c>
      <c r="B4" t="s">
        <v>367</v>
      </c>
      <c r="C4" t="s">
        <v>366</v>
      </c>
      <c r="D4" s="58">
        <v>400</v>
      </c>
    </row>
    <row r="5" spans="1:4" x14ac:dyDescent="0.2">
      <c r="A5" s="61">
        <v>45187.5</v>
      </c>
      <c r="B5" t="s">
        <v>368</v>
      </c>
      <c r="C5" t="s">
        <v>60</v>
      </c>
      <c r="D5" s="58">
        <v>2000</v>
      </c>
    </row>
    <row r="6" spans="1:4" x14ac:dyDescent="0.2">
      <c r="A6" s="61">
        <v>45259.5</v>
      </c>
      <c r="B6" t="s">
        <v>369</v>
      </c>
      <c r="C6" t="s">
        <v>370</v>
      </c>
      <c r="D6" s="58">
        <v>500</v>
      </c>
    </row>
    <row r="7" spans="1:4" x14ac:dyDescent="0.2">
      <c r="A7" s="61">
        <v>45336.5</v>
      </c>
      <c r="B7" t="s">
        <v>363</v>
      </c>
      <c r="C7" t="s">
        <v>364</v>
      </c>
      <c r="D7" s="58">
        <v>1500</v>
      </c>
    </row>
    <row r="8" spans="1:4" x14ac:dyDescent="0.2">
      <c r="A8" s="61">
        <v>45412.5</v>
      </c>
      <c r="B8" t="s">
        <v>371</v>
      </c>
      <c r="C8" t="s">
        <v>370</v>
      </c>
      <c r="D8" s="58">
        <v>800</v>
      </c>
    </row>
    <row r="9" spans="1:4" x14ac:dyDescent="0.2">
      <c r="A9" s="61">
        <v>45464.5</v>
      </c>
      <c r="B9" t="s">
        <v>367</v>
      </c>
      <c r="C9" t="s">
        <v>366</v>
      </c>
      <c r="D9" s="58">
        <v>500</v>
      </c>
    </row>
    <row r="10" spans="1:4" x14ac:dyDescent="0.2">
      <c r="A10" s="61">
        <v>45545.5</v>
      </c>
      <c r="B10" t="s">
        <v>372</v>
      </c>
      <c r="C10" t="s">
        <v>370</v>
      </c>
      <c r="D10" s="58">
        <v>1200</v>
      </c>
    </row>
    <row r="11" spans="1:4" x14ac:dyDescent="0.2">
      <c r="A11" s="61">
        <v>45641.5</v>
      </c>
      <c r="B11" t="s">
        <v>368</v>
      </c>
      <c r="C11" t="s">
        <v>60</v>
      </c>
      <c r="D11" s="58">
        <v>1500</v>
      </c>
    </row>
    <row r="12" spans="1:4" x14ac:dyDescent="0.2">
      <c r="A12" s="61">
        <v>45656.5</v>
      </c>
      <c r="B12" t="s">
        <v>373</v>
      </c>
      <c r="C12" t="s">
        <v>374</v>
      </c>
      <c r="D12" s="58">
        <v>600</v>
      </c>
    </row>
    <row r="13" spans="1:4" x14ac:dyDescent="0.2">
      <c r="A13" s="61">
        <v>45679.5</v>
      </c>
      <c r="B13" t="s">
        <v>363</v>
      </c>
      <c r="C13" t="s">
        <v>364</v>
      </c>
      <c r="D13" s="58">
        <v>1500</v>
      </c>
    </row>
    <row r="14" spans="1:4" x14ac:dyDescent="0.2">
      <c r="A14" s="61">
        <v>45724.5</v>
      </c>
      <c r="B14" t="s">
        <v>367</v>
      </c>
      <c r="C14" t="s">
        <v>366</v>
      </c>
      <c r="D14" s="58">
        <v>400</v>
      </c>
    </row>
    <row r="15" spans="1:4" x14ac:dyDescent="0.2">
      <c r="A15" s="61">
        <v>45766.5</v>
      </c>
      <c r="B15" t="s">
        <v>375</v>
      </c>
      <c r="C15" t="s">
        <v>376</v>
      </c>
      <c r="D15" s="58">
        <v>250</v>
      </c>
    </row>
    <row r="16" spans="1:4" x14ac:dyDescent="0.2">
      <c r="A16" s="61">
        <v>45766.5</v>
      </c>
      <c r="B16" t="s">
        <v>368</v>
      </c>
      <c r="C16" t="s">
        <v>60</v>
      </c>
      <c r="D16" s="58">
        <v>1000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Lookup Tables</vt:lpstr>
      <vt:lpstr>Accounts</vt:lpstr>
      <vt:lpstr>Net Worth MoM</vt:lpstr>
      <vt:lpstr>Budget</vt:lpstr>
      <vt:lpstr>Sankey</vt:lpstr>
      <vt:lpstr>Mortgage</vt:lpstr>
      <vt:lpstr>Education Savings</vt:lpstr>
      <vt:lpstr>Brokerage Ledger</vt:lpstr>
      <vt:lpstr>401k Ledger</vt:lpstr>
      <vt:lpstr>BrokerageLink</vt:lpstr>
      <vt:lpstr>Pension</vt:lpstr>
      <vt:lpstr>TICKERS</vt:lpstr>
      <vt:lpstr>401k Ticker Map</vt:lpstr>
      <vt:lpstr>Charitable Trust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2026-03-31T03:04:34Z</dcterms:created>
  <dcterms:modified xsi:type="dcterms:W3CDTF">2026-05-03T22:05:27Z</dcterms:modified>
</cp:coreProperties>
</file>