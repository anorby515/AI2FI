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4800" yWindow="1500" windowWidth="30320" windowHeight="24400" tabRatio="600" firstSheet="0" activeTab="0" autoFilterDateGrouping="1"/>
  </bookViews>
  <sheets>
    <sheet name="Brokerage Ledger" sheetId="1" state="visible" r:id="rId1"/>
    <sheet name="Accounts" sheetId="2" state="visible" r:id="rId2"/>
    <sheet name="TICKERS" sheetId="3" state="visible" r:id="rId3"/>
  </sheets>
  <definedNames>
    <definedName name="APR">#REF!</definedName>
    <definedName name="Current_Debt_Total">#REF!</definedName>
    <definedName name="Current_Jeep">#REF!</definedName>
    <definedName name="Current_Mortgage">#REF!</definedName>
    <definedName name="EXTRA_MNTHLY">#REF!</definedName>
    <definedName name="EXTRA_PMT">#REF!</definedName>
    <definedName name="Gross_Salary">#REF!</definedName>
    <definedName name="Lake_apr">#REF!</definedName>
    <definedName name="Lake_nper">#REF!</definedName>
    <definedName name="LoanPurpose">#REF!</definedName>
    <definedName name="MoRT_PMT">#REF!</definedName>
    <definedName name="NPER">#REF!</definedName>
    <definedName name="Payment">#REF!</definedName>
    <definedName name="Pen_After_Death">#REF!</definedName>
    <definedName name="Pen_B4_Death">#REF!</definedName>
    <definedName name="Pen_B4_SS">#REF!</definedName>
    <definedName name="Pension">#REF!</definedName>
    <definedName name="Principal">#REF!</definedName>
    <definedName name="rate">#REF!</definedName>
    <definedName name="Refi_Mortgage">#REF!</definedName>
    <definedName name="retire_Apr">#REF!</definedName>
    <definedName name="SS">#REF!</definedName>
    <definedName name="TodaySnP">#REF!</definedName>
    <definedName name="TotalMonthlyExpenses">#REF!</definedName>
    <definedName name="TotalMonthlyIncome">#REF!</definedName>
    <definedName name="TotalMonthlySavings">#REF!</definedName>
    <definedName name="TotalSavings">#REF!</definedName>
    <definedName name="TotalSpent">#REF!</definedName>
    <definedName name="TodaySnP" localSheetId="0">'Brokerage Ledger'!#REF!</definedName>
    <definedName name="TodaySnP" localSheetId="1">#REF!</definedName>
    <definedName name="TodaySnP" localSheetId="2">#REF!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&quot;$&quot;#,##0.00_);[Red]\(&quot;$&quot;#,##0.00\)"/>
    <numFmt numFmtId="165" formatCode="m/d/yy;@"/>
    <numFmt numFmtId="166" formatCode="_(&quot;$&quot;* #,##0_);_(&quot;$&quot;* \(#,##0\);_(&quot;$&quot;* &quot;-&quot;??_);_(@_)"/>
  </numFmts>
  <fonts count="12">
    <font>
      <name val="Calibri"/>
      <family val="2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3" tint="0.249946592608417"/>
      <sz val="10"/>
      <scheme val="minor"/>
    </font>
    <font>
      <name val="Calibri"/>
      <family val="1"/>
      <i val="1"/>
      <color theme="3" tint="0.249946592608417"/>
      <sz val="10"/>
      <scheme val="minor"/>
    </font>
    <font>
      <name val="Calibri"/>
      <family val="1"/>
      <color theme="3" tint="0.249946592608417"/>
      <sz val="10"/>
      <scheme val="minor"/>
    </font>
    <font>
      <name val="Calibri"/>
      <family val="1"/>
      <b val="1"/>
      <i val="1"/>
      <color theme="3" tint="0.249946592608417"/>
      <sz val="10"/>
      <scheme val="minor"/>
    </font>
    <font>
      <name val="Calibri"/>
      <family val="1"/>
      <b val="1"/>
      <color theme="3" tint="0.249946592608417"/>
      <sz val="10"/>
      <scheme val="minor"/>
    </font>
    <font>
      <name val="Helvetica Neue"/>
      <family val="2"/>
      <b val="1"/>
      <color rgb="FF000000"/>
      <sz val="10"/>
    </font>
    <font>
      <name val="Helvetica Neue"/>
      <family val="2"/>
      <color rgb="FF000000"/>
      <sz val="10"/>
    </font>
    <font>
      <name val="Calibri"/>
      <family val="2"/>
      <color theme="10"/>
      <sz val="10"/>
      <u val="single"/>
      <scheme val="minor"/>
    </font>
  </fonts>
  <fills count="3">
    <fill>
      <patternFill/>
    </fill>
    <fill>
      <patternFill patternType="gray125"/>
    </fill>
    <fill>
      <patternFill patternType="solid">
        <fgColor theme="2" tint="-0.09994811853389081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theme="6" tint="0.3999755851924192"/>
      </top>
      <bottom style="thin">
        <color theme="6" tint="0.3999755851924192"/>
      </bottom>
      <diagonal/>
    </border>
    <border>
      <left/>
      <right/>
      <top style="thin">
        <color theme="6" tint="0.3999755851924192"/>
      </top>
      <bottom/>
      <diagonal/>
    </border>
    <border>
      <left/>
      <right/>
      <top/>
      <bottom style="thin">
        <color theme="6" tint="0.3999755851924192"/>
      </bottom>
      <diagonal/>
    </border>
    <border>
      <left style="thin">
        <color theme="6" tint="0.3999755851924192"/>
      </left>
      <right/>
      <top/>
      <bottom style="thin">
        <color theme="6" tint="0.3999755851924192"/>
      </bottom>
      <diagonal/>
    </border>
    <border>
      <left/>
      <right/>
      <top style="thin">
        <color rgb="FFC4D79B"/>
      </top>
      <bottom style="thin">
        <color rgb="FFC4D79B"/>
      </bottom>
      <diagonal/>
    </border>
    <border>
      <left/>
      <right/>
      <top/>
      <bottom style="thin">
        <color rgb="FFC4D79B"/>
      </bottom>
      <diagonal/>
    </border>
    <border>
      <left/>
      <right/>
      <top style="thin">
        <color rgb="FFC4D79B"/>
      </top>
      <bottom/>
      <diagonal/>
    </border>
  </borders>
  <cellStyleXfs count="6">
    <xf numFmtId="0" fontId="0" fillId="0" borderId="0"/>
    <xf numFmtId="0" fontId="4" fillId="2" borderId="0"/>
    <xf numFmtId="44" fontId="4" fillId="0" borderId="0"/>
    <xf numFmtId="9" fontId="4" fillId="0" borderId="0"/>
    <xf numFmtId="0" fontId="11" fillId="2" borderId="0"/>
    <xf numFmtId="0" fontId="3" fillId="0" borderId="0"/>
  </cellStyleXfs>
  <cellXfs count="41">
    <xf numFmtId="0" fontId="0" fillId="0" borderId="0" pivotButton="0" quotePrefix="0" xfId="0"/>
    <xf numFmtId="0" fontId="4" fillId="0" borderId="0" pivotButton="0" quotePrefix="0" xfId="1"/>
    <xf numFmtId="0" fontId="4" fillId="0" borderId="0" applyAlignment="1" pivotButton="0" quotePrefix="0" xfId="1">
      <alignment horizontal="center" vertical="center"/>
    </xf>
    <xf numFmtId="9" fontId="0" fillId="0" borderId="0" pivotButton="0" quotePrefix="0" xfId="3"/>
    <xf numFmtId="0" fontId="9" fillId="0" borderId="0" applyAlignment="1" pivotButton="0" quotePrefix="0" xfId="1">
      <alignment wrapText="1"/>
    </xf>
    <xf numFmtId="0" fontId="9" fillId="0" borderId="0" applyAlignment="1" pivotButton="0" quotePrefix="0" xfId="1">
      <alignment horizontal="center" vertical="center" wrapText="1"/>
    </xf>
    <xf numFmtId="0" fontId="4" fillId="0" borderId="0" applyAlignment="1" pivotButton="0" quotePrefix="0" xfId="1">
      <alignment wrapText="1"/>
    </xf>
    <xf numFmtId="0" fontId="10" fillId="0" borderId="0" pivotButton="0" quotePrefix="0" xfId="1"/>
    <xf numFmtId="14" fontId="10" fillId="0" borderId="0" applyAlignment="1" pivotButton="0" quotePrefix="0" xfId="1">
      <alignment horizontal="center" vertical="center"/>
    </xf>
    <xf numFmtId="14" fontId="10" fillId="0" borderId="0" pivotButton="0" quotePrefix="0" xfId="1"/>
    <xf numFmtId="164" fontId="10" fillId="0" borderId="0" pivotButton="0" quotePrefix="0" xfId="1"/>
    <xf numFmtId="165" fontId="10" fillId="0" borderId="0" pivotButton="0" quotePrefix="0" xfId="1"/>
    <xf numFmtId="164" fontId="10" fillId="0" borderId="0" pivotButton="0" quotePrefix="0" xfId="3"/>
    <xf numFmtId="0" fontId="10" fillId="0" borderId="1" pivotButton="0" quotePrefix="0" xfId="1"/>
    <xf numFmtId="14" fontId="9" fillId="0" borderId="0" pivotButton="0" quotePrefix="0" xfId="1"/>
    <xf numFmtId="0" fontId="10" fillId="0" borderId="2" pivotButton="0" quotePrefix="0" xfId="1"/>
    <xf numFmtId="9" fontId="10" fillId="0" borderId="0" pivotButton="0" quotePrefix="0" xfId="3"/>
    <xf numFmtId="0" fontId="3" fillId="0" borderId="0" pivotButton="0" quotePrefix="0" xfId="5"/>
    <xf numFmtId="0" fontId="9" fillId="0" borderId="3" applyAlignment="1" pivotButton="0" quotePrefix="0" xfId="1">
      <alignment wrapText="1"/>
    </xf>
    <xf numFmtId="0" fontId="9" fillId="0" borderId="4" applyAlignment="1" pivotButton="0" quotePrefix="0" xfId="1">
      <alignment wrapText="1"/>
    </xf>
    <xf numFmtId="0" fontId="5" fillId="0" borderId="0" pivotButton="0" quotePrefix="1" xfId="1"/>
    <xf numFmtId="14" fontId="4" fillId="0" borderId="0" pivotButton="0" quotePrefix="0" xfId="1"/>
    <xf numFmtId="166" fontId="4" fillId="0" borderId="0" pivotButton="0" quotePrefix="0" xfId="1"/>
    <xf numFmtId="166" fontId="6" fillId="0" borderId="0" pivotButton="0" quotePrefix="0" xfId="1"/>
    <xf numFmtId="0" fontId="7" fillId="0" borderId="0" applyAlignment="1" pivotButton="0" quotePrefix="0" xfId="1">
      <alignment horizontal="left" indent="1"/>
    </xf>
    <xf numFmtId="166" fontId="7" fillId="0" borderId="0" applyAlignment="1" pivotButton="0" quotePrefix="0" xfId="1">
      <alignment horizontal="left" indent="1"/>
    </xf>
    <xf numFmtId="0" fontId="8" fillId="0" borderId="0" pivotButton="0" quotePrefix="0" xfId="1"/>
    <xf numFmtId="166" fontId="8" fillId="0" borderId="0" pivotButton="0" quotePrefix="0" xfId="2"/>
    <xf numFmtId="0" fontId="9" fillId="0" borderId="6" applyAlignment="1" pivotButton="0" quotePrefix="0" xfId="0">
      <alignment wrapText="1"/>
    </xf>
    <xf numFmtId="0" fontId="10" fillId="0" borderId="5" pivotButton="0" quotePrefix="0" xfId="0"/>
    <xf numFmtId="0" fontId="10" fillId="0" borderId="7" pivotButton="0" quotePrefix="0" xfId="0"/>
    <xf numFmtId="0" fontId="10" fillId="0" borderId="0" applyAlignment="1" pivotButton="0" quotePrefix="0" xfId="1">
      <alignment horizontal="left"/>
    </xf>
    <xf numFmtId="0" fontId="2" fillId="0" borderId="0" pivotButton="0" quotePrefix="0" xfId="5"/>
    <xf numFmtId="0" fontId="10" fillId="0" borderId="5" applyAlignment="1" pivotButton="0" quotePrefix="0" xfId="0">
      <alignment horizontal="left" vertical="center"/>
    </xf>
    <xf numFmtId="0" fontId="0" fillId="0" borderId="5" pivotButton="0" quotePrefix="0" xfId="0"/>
    <xf numFmtId="0" fontId="10" fillId="0" borderId="0" pivotButton="0" quotePrefix="0" xfId="0"/>
    <xf numFmtId="0" fontId="1" fillId="0" borderId="0" pivotButton="0" quotePrefix="0" xfId="5"/>
    <xf numFmtId="0" fontId="10" fillId="0" borderId="0" pivotButton="0" quotePrefix="0" xfId="1"/>
    <xf numFmtId="164" fontId="10" fillId="0" borderId="0" pivotButton="0" quotePrefix="0" xfId="1"/>
    <xf numFmtId="165" fontId="10" fillId="0" borderId="0" pivotButton="0" quotePrefix="0" xfId="1"/>
    <xf numFmtId="164" fontId="10" fillId="0" borderId="0" pivotButton="0" quotePrefix="0" xfId="3"/>
  </cellXfs>
  <cellStyles count="6">
    <cellStyle name="Normal" xfId="0" builtinId="0"/>
    <cellStyle name="Normal 2" xfId="1"/>
    <cellStyle name="Currency 2" xfId="2"/>
    <cellStyle name="Percent 2" xfId="3"/>
    <cellStyle name="Hyperlink 2" xfId="4"/>
    <cellStyle name="Normal 3" xfId="5"/>
  </cellStyles>
  <dxfs count="30">
    <dxf>
      <font>
        <name val="Helvetica Neue"/>
        <family val="2"/>
        <strike val="0"/>
        <outline val="0"/>
        <shadow val="0"/>
        <condense val="0"/>
        <color rgb="FF000000"/>
        <extend val="0"/>
        <sz val="10"/>
        <vertAlign val="baseline"/>
      </font>
      <numFmt numFmtId="0" formatCode="General"/>
      <fill>
        <patternFill>
          <fgColor indexed="64"/>
          <bgColor auto="1"/>
        </patternFill>
      </fill>
    </dxf>
    <dxf>
      <font>
        <name val="Helvetica Neue"/>
        <family val="2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auto="1"/>
        </patternFill>
      </fill>
      <border outline="0">
        <left/>
        <right/>
        <top style="thin">
          <color rgb="FFC4D79B"/>
        </top>
        <bottom style="thin">
          <color rgb="FFC4D79B"/>
        </bottom>
      </border>
    </dxf>
    <dxf>
      <font>
        <name val="Helvetica Neue"/>
        <family val="2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auto="1"/>
        </patternFill>
      </fill>
      <border outline="0">
        <left/>
        <right/>
        <top style="thin">
          <color rgb="FFC4D79B"/>
        </top>
        <bottom style="thin">
          <color rgb="FFC4D79B"/>
        </bottom>
      </border>
    </dxf>
    <dxf>
      <border outline="0">
        <top style="thin">
          <color rgb="FFC4D79B"/>
        </top>
      </border>
    </dxf>
    <dxf>
      <border outline="0">
        <bottom style="thin">
          <color rgb="FFC4D79B"/>
        </bottom>
      </border>
    </dxf>
    <dxf>
      <border outline="0">
        <top style="thin">
          <color rgb="FFC4D79B"/>
        </top>
        <bottom style="thin">
          <color rgb="FFC4D79B"/>
        </bottom>
      </border>
    </dxf>
    <dxf>
      <font>
        <name val="Helvetica Neue"/>
        <family val="2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rgb="FF000000"/>
          <bgColor auto="1"/>
        </patternFill>
      </fill>
    </dxf>
    <dxf>
      <font>
        <name val="Helvetica Neue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auto="1"/>
        </patternFill>
      </fill>
      <alignment horizontal="general" vertical="bottom" wrapText="1"/>
    </dxf>
    <dxf>
      <fill>
        <patternFill>
          <fgColor indexed="64"/>
          <bgColor indexed="65"/>
        </patternFill>
      </fill>
    </dxf>
    <dxf>
      <font>
        <name val="Helvetica Neue"/>
        <family val="2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</dxf>
    <dxf>
      <font>
        <name val="Helvetica Neue"/>
        <family val="2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border>
        <left/>
        <right/>
        <top style="thin">
          <color theme="6" tint="0.3999755851924192"/>
        </top>
        <bottom style="thin">
          <color theme="6" tint="0.3999755851924192"/>
        </bottom>
        <vertical/>
        <horizontal/>
      </border>
    </dxf>
    <dxf>
      <border outline="0">
        <left style="thin">
          <color theme="6" tint="0.3999755851924192"/>
        </left>
        <top style="thin">
          <color theme="6" tint="0.3999755851924192"/>
        </top>
      </border>
    </dxf>
    <dxf>
      <border outline="0">
        <bottom style="thin">
          <color theme="6" tint="0.3999755851924192"/>
        </bottom>
      </border>
    </dxf>
    <dxf>
      <font>
        <name val="Helvetica Neue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 wrapText="1"/>
    </dxf>
    <dxf>
      <font>
        <name val="Helvetica Neue"/>
        <family val="2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auto="1"/>
        </patternFill>
      </fill>
    </dxf>
    <dxf>
      <font>
        <name val="Helvetica Neue"/>
        <family val="2"/>
        <strike val="0"/>
        <outline val="0"/>
        <shadow val="0"/>
        <condense val="0"/>
        <color rgb="FF000000"/>
        <extend val="0"/>
        <sz val="10"/>
        <vertAlign val="baseline"/>
      </font>
      <numFmt numFmtId="12" formatCode="&quot;$&quot;#,##0.00_);[Red]\(&quot;$&quot;#,##0.00\)"/>
      <fill>
        <patternFill>
          <fgColor indexed="64"/>
          <bgColor auto="1"/>
        </patternFill>
      </fill>
    </dxf>
    <dxf>
      <font>
        <name val="Helvetica Neue"/>
        <family val="2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auto="1"/>
        </patternFill>
      </fill>
    </dxf>
    <dxf>
      <font>
        <name val="Helvetica Neue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m/d/yy"/>
      <fill>
        <patternFill>
          <fgColor indexed="64"/>
          <bgColor auto="1"/>
        </patternFill>
      </fill>
    </dxf>
    <dxf>
      <font>
        <name val="Helvetica Neue"/>
        <family val="2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m/d/yy"/>
      <fill>
        <patternFill>
          <fgColor indexed="64"/>
          <bgColor auto="1"/>
        </patternFill>
      </fill>
    </dxf>
    <dxf>
      <font>
        <name val="Helvetica Neue"/>
        <family val="2"/>
        <strike val="0"/>
        <outline val="0"/>
        <shadow val="0"/>
        <condense val="0"/>
        <color rgb="FF000000"/>
        <extend val="0"/>
        <sz val="10"/>
        <vertAlign val="baseline"/>
      </font>
      <numFmt numFmtId="12" formatCode="&quot;$&quot;#,##0.00_);[Red]\(&quot;$&quot;#,##0.00\)"/>
      <fill>
        <patternFill>
          <fgColor indexed="64"/>
          <bgColor auto="1"/>
        </patternFill>
      </fill>
    </dxf>
    <dxf>
      <font>
        <name val="Helvetica Neue"/>
        <family val="2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auto="1"/>
        </patternFill>
      </fill>
    </dxf>
    <dxf>
      <font>
        <name val="Helvetica Neue"/>
        <family val="2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m/d/yy"/>
      <fill>
        <patternFill>
          <fgColor indexed="64"/>
          <bgColor auto="1"/>
        </patternFill>
      </fill>
    </dxf>
    <dxf>
      <font>
        <name val="Helvetica Neue"/>
        <family val="2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m/d/yy"/>
      <fill>
        <patternFill>
          <fgColor indexed="64"/>
          <bgColor auto="1"/>
        </patternFill>
      </fill>
      <alignment horizontal="center" vertical="center"/>
    </dxf>
    <dxf>
      <font>
        <name val="Helvetica Neue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auto="1"/>
        </patternFill>
      </fill>
    </dxf>
    <dxf>
      <font>
        <name val="Helvetica Neue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auto="1"/>
        </patternFill>
      </fill>
      <border outline="0">
        <left/>
        <right/>
        <top style="thin">
          <color theme="6" tint="0.3999755851924192"/>
        </top>
        <bottom/>
      </border>
    </dxf>
    <dxf>
      <font>
        <name val="Helvetica Neue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0" formatCode="General"/>
      <fill>
        <patternFill>
          <fgColor indexed="64"/>
          <bgColor indexed="65"/>
        </patternFill>
      </fill>
      <border outline="0">
        <left/>
        <right/>
        <top style="thin">
          <color theme="6" tint="0.3999755851924192"/>
        </top>
        <bottom/>
      </border>
    </dxf>
    <dxf>
      <font>
        <name val="Helvetica Neue"/>
        <family val="2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border outline="0">
        <left/>
        <right/>
        <top style="thin">
          <color theme="6" tint="0.3999755851924192"/>
        </top>
        <bottom/>
      </border>
    </dxf>
    <dxf>
      <font>
        <name val="Helvetica Neue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border>
        <left/>
        <right/>
        <top style="thin">
          <color theme="6" tint="0.3999755851924192"/>
        </top>
        <bottom/>
        <vertical/>
        <horizontal/>
      </border>
    </dxf>
    <dxf>
      <fill>
        <patternFill>
          <fgColor indexed="64"/>
          <bgColor auto="1"/>
        </patternFill>
      </fill>
    </dxf>
    <dxf>
      <font>
        <name val="Helvetica Neue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auto="1"/>
        </patternFill>
      </fill>
      <alignment horizontal="general" vertical="bottom" wrapText="1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le94" displayName="Table94" ref="B2:P74" headerRowCount="1" totalsRowShown="0" headerRowDxfId="29" dataDxfId="28">
  <autoFilter ref="B2:P74"/>
  <sortState ref="B3:P74">
    <sortCondition ref="F2:F74"/>
  </sortState>
  <tableColumns count="15">
    <tableColumn id="23" name="Account" dataDxfId="27" dataCellStyle="Normal 2"/>
    <tableColumn id="8" name="Account Type" dataDxfId="26" dataCellStyle="Normal 2">
      <calculatedColumnFormula array="1">_xlfn.XLOOKUP(Table94[[#This Row],[Account]],Table2[[#All],[Account]],Table2[[#All],[Account Type2]])</calculatedColumnFormula>
    </tableColumn>
    <tableColumn id="7" name="Owner" dataDxfId="25" dataCellStyle="Normal 2">
      <calculatedColumnFormula array="1">_xlfn.XLOOKUP(Table94[[#This Row],[Account]],Table2[[#All],[Account]],Table2[[#All],[Owner]])</calculatedColumnFormula>
    </tableColumn>
    <tableColumn id="1" name="Transaction" dataDxfId="24"/>
    <tableColumn id="2" name="Symbol" dataDxfId="23"/>
    <tableColumn id="3" name="Security Description" dataDxfId="0">
      <calculatedColumnFormula array="1">_xlfn.XLOOKUP(Table94[[#This Row],[Symbol]],Table36[[#All],[Symbol]],Table36[[#All],[Security Description]])</calculatedColumnFormula>
    </tableColumn>
    <tableColumn id="19" name="Date Acquired" dataDxfId="22"/>
    <tableColumn id="21" name="Tax Lot" dataDxfId="21">
      <calculatedColumnFormula>Table94[[#This Row],[Symbol]]&amp;" "&amp;Table94[[#This Row],[Date Acquired]]</calculatedColumnFormula>
    </tableColumn>
    <tableColumn id="16" name="Shares Bought" dataDxfId="20"/>
    <tableColumn id="17" name="Cost Basis Per Share" dataDxfId="19"/>
    <tableColumn id="6" name="Date Sold" dataDxfId="18"/>
    <tableColumn id="34" name="Charitable Donation" dataDxfId="17" dataCellStyle="Normal 2"/>
    <tableColumn id="4" name="Shares Sold" dataDxfId="16"/>
    <tableColumn id="5" name="Sell Basis Per Share" dataDxfId="15">
      <calculatedColumnFormula>IF(Table94[[#This Row],[Transaction]]="Closed",Table94[[#This Row],[Proceeds]]/Table94[[#This Row],[Shares Sold]],"")</calculatedColumnFormula>
    </tableColumn>
    <tableColumn id="9" name="Proceeds" dataDxfId="14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B2:D5" headerRowCount="1" totalsRowShown="0" headerRowDxfId="13" headerRowBorderDxfId="12" tableBorderDxfId="11" headerRowCellStyle="Normal 2">
  <autoFilter ref="B2:D5"/>
  <sortState ref="B3:D18">
    <sortCondition ref="B2:B18"/>
  </sortState>
  <tableColumns count="3">
    <tableColumn id="1" name="Account" dataDxfId="10" dataCellStyle="Normal 2"/>
    <tableColumn id="3" name="Account Type2" dataDxfId="9" dataCellStyle="Normal 2"/>
    <tableColumn id="2" name="Owner" dataDxfId="8" dataCellStyle="Normal 3"/>
  </tableColumns>
  <tableStyleInfo name="TableStyleMedium6" showFirstColumn="0" showLastColumn="0" showRowStripes="1" showColumnStripes="0"/>
</table>
</file>

<file path=xl/tables/table3.xml><?xml version="1.0" encoding="utf-8"?>
<table xmlns="http://schemas.openxmlformats.org/spreadsheetml/2006/main" id="3" name="Table36" displayName="Table36" ref="B2:C123" headerRowCount="1" totalsRowShown="0" headerRowDxfId="7" dataDxfId="6" headerRowBorderDxfId="4" tableBorderDxfId="5" totalsRowBorderDxfId="3">
  <autoFilter ref="B2:C123"/>
  <sortState ref="B3:C123">
    <sortCondition ref="B2:B123"/>
  </sortState>
  <tableColumns count="2">
    <tableColumn id="1" name="Symbol" dataDxfId="2"/>
    <tableColumn id="2" name="Security Description" dataDxfId="1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tabColor theme="8"/>
    <outlinePr summaryBelow="1" summaryRight="1"/>
    <pageSetUpPr/>
  </sheetPr>
  <dimension ref="A1:P74"/>
  <sheetViews>
    <sheetView zoomScale="120" zoomScaleNormal="120" workbookViewId="0">
      <selection activeCell="G4" sqref="G4"/>
    </sheetView>
  </sheetViews>
  <sheetFormatPr baseColWidth="10" defaultColWidth="10.83203125" defaultRowHeight="16"/>
  <cols>
    <col width="3.1640625" customWidth="1" style="1" min="1" max="1"/>
    <col width="13.33203125" customWidth="1" style="1" min="2" max="2"/>
    <col outlineLevel="1" width="12" customWidth="1" style="1" min="3" max="3"/>
    <col outlineLevel="1" width="10.83203125" customWidth="1" style="17" min="4" max="4"/>
    <col width="11.5" bestFit="1" customWidth="1" style="1" min="5" max="5"/>
    <col width="9.5" bestFit="1" customWidth="1" style="2" min="6" max="6"/>
    <col width="80.83203125" bestFit="1" customWidth="1" style="1" min="7" max="7"/>
    <col width="11.6640625" customWidth="1" style="1" min="8" max="8"/>
    <col width="9.1640625" customWidth="1" style="1" min="9" max="9"/>
    <col width="12.33203125" customWidth="1" style="1" min="10" max="10"/>
    <col width="11.33203125" customWidth="1" style="1" min="11" max="11"/>
    <col width="11.1640625" bestFit="1" customWidth="1" style="1" min="12" max="12"/>
    <col width="12.33203125" customWidth="1" style="1" min="13" max="13"/>
    <col width="11.83203125" bestFit="1" customWidth="1" style="3" min="14" max="14"/>
    <col width="13.1640625" bestFit="1" customWidth="1" style="3" min="15" max="15"/>
    <col width="10.83203125" customWidth="1" style="1" min="16" max="16384"/>
  </cols>
  <sheetData>
    <row r="1" ht="15" customHeight="1">
      <c r="D1" s="1" t="n"/>
      <c r="M1" s="3" t="n"/>
      <c r="O1" s="1" t="n"/>
    </row>
    <row r="2" ht="29" customFormat="1" customHeight="1" s="6">
      <c r="A2" s="1" t="n"/>
      <c r="B2" s="4" t="inlineStr">
        <is>
          <t>Account</t>
        </is>
      </c>
      <c r="C2" s="4" t="inlineStr">
        <is>
          <t>Account Type</t>
        </is>
      </c>
      <c r="D2" s="4" t="inlineStr">
        <is>
          <t>Owner</t>
        </is>
      </c>
      <c r="E2" s="4" t="inlineStr">
        <is>
          <t>Transaction</t>
        </is>
      </c>
      <c r="F2" s="4" t="inlineStr">
        <is>
          <t>Symbol</t>
        </is>
      </c>
      <c r="G2" s="4" t="inlineStr">
        <is>
          <t>Security Description</t>
        </is>
      </c>
      <c r="H2" s="5" t="inlineStr">
        <is>
          <t>Date Acquired</t>
        </is>
      </c>
      <c r="I2" s="4" t="inlineStr">
        <is>
          <t>Tax Lot</t>
        </is>
      </c>
      <c r="J2" s="4" t="inlineStr">
        <is>
          <t>Shares Bought</t>
        </is>
      </c>
      <c r="K2" s="4" t="inlineStr">
        <is>
          <t>Cost Basis Per Share</t>
        </is>
      </c>
      <c r="L2" s="4" t="inlineStr">
        <is>
          <t>Date Sold</t>
        </is>
      </c>
      <c r="M2" s="4" t="inlineStr">
        <is>
          <t>Charitable Donation</t>
        </is>
      </c>
      <c r="N2" s="4" t="inlineStr">
        <is>
          <t>Shares Sold</t>
        </is>
      </c>
      <c r="O2" s="4" t="inlineStr">
        <is>
          <t>Sell Basis Per Share</t>
        </is>
      </c>
      <c r="P2" s="4" t="inlineStr">
        <is>
          <t>Proceeds</t>
        </is>
      </c>
    </row>
    <row r="3" ht="14" customHeight="1">
      <c r="B3" s="37" t="inlineStr">
        <is>
          <t>XX123</t>
        </is>
      </c>
      <c r="C3" s="37">
        <f t="array" ref="C3">_xlfn.XLOOKUP(Table94[[#This Row],[Account]],Table2[[#All],[Account]],Table2[[#All],[Account Type2]])</f>
        <v/>
      </c>
      <c r="D3" s="37">
        <f t="array" ref="D3">_xlfn.XLOOKUP(Table94[[#This Row],[Account]],Table2[[#All],[Account]],Table2[[#All],[Owner]])</f>
        <v/>
      </c>
      <c r="E3" s="37" t="inlineStr">
        <is>
          <t>Closed</t>
        </is>
      </c>
      <c r="F3" s="37" t="inlineStr">
        <is>
          <t>AAPL</t>
        </is>
      </c>
      <c r="G3" s="31">
        <f t="array" ref="G3">_xlfn.XLOOKUP(Table94[[#This Row],[Symbol]],Table36[[#All],[Symbol]],Table36[[#All],[Security Description]])</f>
        <v/>
      </c>
      <c r="H3" s="8" t="n">
        <v>41715</v>
      </c>
      <c r="I3" s="9">
        <f>Table94[[#This Row],[Symbol]]&amp;" "&amp;Table94[[#This Row],[Date Acquired]]</f>
        <v/>
      </c>
      <c r="J3" s="37" t="n">
        <v>2</v>
      </c>
      <c r="K3" s="38">
        <f>75.8892857142857*7</f>
        <v/>
      </c>
      <c r="L3" s="39" t="n">
        <v>43143</v>
      </c>
      <c r="M3" s="37" t="n"/>
      <c r="N3" s="37" t="n">
        <v>14</v>
      </c>
      <c r="O3" s="38">
        <f>IF(Table94[[#This Row],[Transaction]]="Closed",Table94[[#This Row],[Proceeds]]/Table94[[#This Row],[Shares Sold]],"")</f>
        <v/>
      </c>
      <c r="P3" s="38" t="n">
        <v>2272.31</v>
      </c>
    </row>
    <row r="4" ht="14" customHeight="1">
      <c r="B4" s="37" t="inlineStr">
        <is>
          <t>XX123</t>
        </is>
      </c>
      <c r="C4" s="37">
        <f t="array" ref="C4">_xlfn.XLOOKUP(Table94[[#This Row],[Account]],Table2[[#All],[Account]],Table2[[#All],[Account Type2]])</f>
        <v/>
      </c>
      <c r="D4" s="37">
        <f t="array" ref="D4">_xlfn.XLOOKUP(Table94[[#This Row],[Account]],Table2[[#All],[Account]],Table2[[#All],[Owner]])</f>
        <v/>
      </c>
      <c r="E4" s="37" t="inlineStr">
        <is>
          <t>Closed</t>
        </is>
      </c>
      <c r="F4" s="37" t="inlineStr">
        <is>
          <t>AAPL</t>
        </is>
      </c>
      <c r="G4" s="31">
        <f t="array" ref="G4">_xlfn.XLOOKUP(Table94[[#This Row],[Symbol]],Table36[[#All],[Symbol]],Table36[[#All],[Security Description]])</f>
        <v/>
      </c>
      <c r="H4" s="8" t="n">
        <v>41807</v>
      </c>
      <c r="I4" s="9">
        <f>Table94[[#This Row],[Symbol]]&amp;" "&amp;Table94[[#This Row],[Date Acquired]]</f>
        <v/>
      </c>
      <c r="J4" s="37" t="n">
        <v>11</v>
      </c>
      <c r="K4" s="38" t="n">
        <v>92.89727272727272</v>
      </c>
      <c r="L4" s="39" t="n">
        <v>43143</v>
      </c>
      <c r="M4" s="37" t="n"/>
      <c r="N4" s="37" t="n">
        <v>11</v>
      </c>
      <c r="O4" s="38">
        <f>IF(Table94[[#This Row],[Transaction]]="Closed",Table94[[#This Row],[Proceeds]]/Table94[[#This Row],[Shares Sold]],"")</f>
        <v/>
      </c>
      <c r="P4" s="38" t="n">
        <v>1785.39</v>
      </c>
    </row>
    <row r="5" ht="14" customHeight="1">
      <c r="B5" s="37" t="inlineStr">
        <is>
          <t>XX123</t>
        </is>
      </c>
      <c r="C5" s="37">
        <f t="array" ref="C5">_xlfn.XLOOKUP(Table94[[#This Row],[Account]],Table2[[#All],[Account]],Table2[[#All],[Account Type2]])</f>
        <v/>
      </c>
      <c r="D5" s="37">
        <f t="array" ref="D5">_xlfn.XLOOKUP(Table94[[#This Row],[Account]],Table2[[#All],[Account]],Table2[[#All],[Owner]])</f>
        <v/>
      </c>
      <c r="E5" s="37" t="inlineStr">
        <is>
          <t>Closed</t>
        </is>
      </c>
      <c r="F5" s="37" t="inlineStr">
        <is>
          <t>AAPL</t>
        </is>
      </c>
      <c r="G5" s="31">
        <f t="array" ref="G5">_xlfn.XLOOKUP(Table94[[#This Row],[Symbol]],Table36[[#All],[Symbol]],Table36[[#All],[Security Description]])</f>
        <v/>
      </c>
      <c r="H5" s="8" t="n">
        <v>41807</v>
      </c>
      <c r="I5" s="9">
        <f>Table94[[#This Row],[Symbol]]&amp;" "&amp;Table94[[#This Row],[Date Acquired]]</f>
        <v/>
      </c>
      <c r="J5" s="37">
        <f>20/4</f>
        <v/>
      </c>
      <c r="K5" s="38">
        <f>23.224*4</f>
        <v/>
      </c>
      <c r="L5" s="39" t="n">
        <v>44074</v>
      </c>
      <c r="M5" s="37" t="n"/>
      <c r="N5" s="37" t="n">
        <v>20</v>
      </c>
      <c r="O5" s="38">
        <f>IF(Table94[[#This Row],[Transaction]]="Closed",Table94[[#This Row],[Proceeds]]/Table94[[#This Row],[Shares Sold]],"")</f>
        <v/>
      </c>
      <c r="P5" s="38" t="n">
        <v>2612.15</v>
      </c>
    </row>
    <row r="6" ht="14" customHeight="1">
      <c r="B6" s="37" t="inlineStr">
        <is>
          <t>XX123</t>
        </is>
      </c>
      <c r="C6" s="37">
        <f t="array" ref="C6">_xlfn.XLOOKUP(Table94[[#This Row],[Account]],Table2[[#All],[Account]],Table2[[#All],[Account Type2]])</f>
        <v/>
      </c>
      <c r="D6" s="37">
        <f t="array" ref="D6">_xlfn.XLOOKUP(Table94[[#This Row],[Account]],Table2[[#All],[Account]],Table2[[#All],[Owner]])</f>
        <v/>
      </c>
      <c r="E6" s="37" t="inlineStr">
        <is>
          <t>Closed</t>
        </is>
      </c>
      <c r="F6" s="37" t="inlineStr">
        <is>
          <t>AAPL</t>
        </is>
      </c>
      <c r="G6" s="31">
        <f t="array" ref="G6">_xlfn.XLOOKUP(Table94[[#This Row],[Symbol]],Table36[[#All],[Symbol]],Table36[[#All],[Security Description]])</f>
        <v/>
      </c>
      <c r="H6" s="8" t="n">
        <v>41988</v>
      </c>
      <c r="I6" s="9">
        <f>Table94[[#This Row],[Symbol]]&amp;" "&amp;Table94[[#This Row],[Date Acquired]]</f>
        <v/>
      </c>
      <c r="J6" s="37">
        <f>36/4</f>
        <v/>
      </c>
      <c r="K6" s="38">
        <f>4*27.8233333333333</f>
        <v/>
      </c>
      <c r="L6" s="39" t="n">
        <v>44074</v>
      </c>
      <c r="M6" s="37" t="n"/>
      <c r="N6" s="37" t="n">
        <v>36</v>
      </c>
      <c r="O6" s="38">
        <f>IF(Table94[[#This Row],[Transaction]]="Closed",Table94[[#This Row],[Proceeds]]/Table94[[#This Row],[Shares Sold]],"")</f>
        <v/>
      </c>
      <c r="P6" s="38" t="n">
        <v>4701.88</v>
      </c>
    </row>
    <row r="7" ht="14" customHeight="1">
      <c r="B7" s="37" t="inlineStr">
        <is>
          <t>XX123</t>
        </is>
      </c>
      <c r="C7" s="37">
        <f t="array" ref="C7">_xlfn.XLOOKUP(Table94[[#This Row],[Account]],Table2[[#All],[Account]],Table2[[#All],[Account Type2]])</f>
        <v/>
      </c>
      <c r="D7" s="37">
        <f t="array" ref="D7">_xlfn.XLOOKUP(Table94[[#This Row],[Account]],Table2[[#All],[Account]],Table2[[#All],[Owner]])</f>
        <v/>
      </c>
      <c r="E7" s="37" t="inlineStr">
        <is>
          <t>Open</t>
        </is>
      </c>
      <c r="F7" s="37" t="inlineStr">
        <is>
          <t>AAPL</t>
        </is>
      </c>
      <c r="G7" s="31">
        <f t="array" ref="G7">_xlfn.XLOOKUP(Table94[[#This Row],[Symbol]],Table36[[#All],[Symbol]],Table36[[#All],[Security Description]])</f>
        <v/>
      </c>
      <c r="H7" s="8" t="n">
        <v>42359</v>
      </c>
      <c r="I7" s="9">
        <f>Table94[[#This Row],[Symbol]]&amp;" "&amp;Table94[[#This Row],[Date Acquired]]</f>
        <v/>
      </c>
      <c r="J7" s="37">
        <f>18/4</f>
        <v/>
      </c>
      <c r="K7" s="38">
        <f>4*26.83</f>
        <v/>
      </c>
      <c r="L7" s="39" t="n"/>
      <c r="M7" s="37" t="n"/>
      <c r="N7" s="37" t="n"/>
      <c r="O7" s="38">
        <f>IF(Table94[[#This Row],[Transaction]]="Closed",Table94[[#This Row],[Proceeds]]/Table94[[#This Row],[Shares Sold]],"")</f>
        <v/>
      </c>
      <c r="P7" s="38" t="n"/>
    </row>
    <row r="8" ht="14" customHeight="1">
      <c r="B8" s="37" t="inlineStr">
        <is>
          <t>XX456</t>
        </is>
      </c>
      <c r="C8" s="37">
        <f t="array" ref="C8">_xlfn.XLOOKUP(Table94[[#This Row],[Account]],Table2[[#All],[Account]],Table2[[#All],[Account Type2]])</f>
        <v/>
      </c>
      <c r="D8" s="37">
        <f t="array" ref="D8">_xlfn.XLOOKUP(Table94[[#This Row],[Account]],Table2[[#All],[Account]],Table2[[#All],[Owner]])</f>
        <v/>
      </c>
      <c r="E8" s="37" t="inlineStr">
        <is>
          <t>Closed</t>
        </is>
      </c>
      <c r="F8" s="37" t="inlineStr">
        <is>
          <t>AAPL</t>
        </is>
      </c>
      <c r="G8" s="31">
        <f t="array" ref="G8">_xlfn.XLOOKUP(Table94[[#This Row],[Symbol]],Table36[[#All],[Symbol]],Table36[[#All],[Security Description]])</f>
        <v/>
      </c>
      <c r="H8" s="8" t="n">
        <v>42359</v>
      </c>
      <c r="I8" s="9">
        <f>Table94[[#This Row],[Symbol]]&amp;" "&amp;Table94[[#This Row],[Date Acquired]]</f>
        <v/>
      </c>
      <c r="J8" s="37">
        <f>12/4</f>
        <v/>
      </c>
      <c r="K8" s="38">
        <f>4*26.825</f>
        <v/>
      </c>
      <c r="L8" s="39" t="n">
        <v>44074</v>
      </c>
      <c r="M8" s="37" t="n"/>
      <c r="N8" s="37" t="n">
        <v>12</v>
      </c>
      <c r="O8" s="38">
        <f>IF(Table94[[#This Row],[Transaction]]="Closed",Table94[[#This Row],[Proceeds]]/Table94[[#This Row],[Shares Sold]],"")</f>
        <v/>
      </c>
      <c r="P8" s="38" t="n">
        <v>1567.29</v>
      </c>
    </row>
    <row r="9" ht="14" customHeight="1">
      <c r="B9" s="37" t="inlineStr">
        <is>
          <t>XX123</t>
        </is>
      </c>
      <c r="C9" s="37">
        <f t="array" ref="C9">_xlfn.XLOOKUP(Table94[[#This Row],[Account]],Table2[[#All],[Account]],Table2[[#All],[Account Type2]])</f>
        <v/>
      </c>
      <c r="D9" s="37">
        <f t="array" ref="D9">_xlfn.XLOOKUP(Table94[[#This Row],[Account]],Table2[[#All],[Account]],Table2[[#All],[Owner]])</f>
        <v/>
      </c>
      <c r="E9" s="37" t="inlineStr">
        <is>
          <t>Closed</t>
        </is>
      </c>
      <c r="F9" s="37" t="inlineStr">
        <is>
          <t>AAPL</t>
        </is>
      </c>
      <c r="G9" s="31">
        <f t="array" ref="G9">_xlfn.XLOOKUP(Table94[[#This Row],[Symbol]],Table36[[#All],[Symbol]],Table36[[#All],[Security Description]])</f>
        <v/>
      </c>
      <c r="H9" s="8" t="n">
        <v>42359</v>
      </c>
      <c r="I9" s="9">
        <f>Table94[[#This Row],[Symbol]]&amp;" "&amp;Table94[[#This Row],[Date Acquired]]</f>
        <v/>
      </c>
      <c r="J9" s="37">
        <f>1/4</f>
        <v/>
      </c>
      <c r="K9" s="38">
        <f>4*26.83</f>
        <v/>
      </c>
      <c r="L9" s="39" t="n">
        <v>45415</v>
      </c>
      <c r="M9" s="37" t="inlineStr">
        <is>
          <t>Yes</t>
        </is>
      </c>
      <c r="N9" s="37" t="n">
        <v>1</v>
      </c>
      <c r="O9" s="38">
        <f>IF(Table94[[#This Row],[Transaction]]="Closed",Table94[[#This Row],[Proceeds]]/Table94[[#This Row],[Shares Sold]],"")</f>
        <v/>
      </c>
      <c r="P9" s="38" t="n">
        <v>183.38</v>
      </c>
    </row>
    <row r="10" ht="14" customHeight="1">
      <c r="B10" s="37" t="inlineStr">
        <is>
          <t>XX123</t>
        </is>
      </c>
      <c r="C10" s="37">
        <f t="array" ref="C10">_xlfn.XLOOKUP(Table94[[#This Row],[Account]],Table2[[#All],[Account]],Table2[[#All],[Account Type2]])</f>
        <v/>
      </c>
      <c r="D10" s="37">
        <f t="array" ref="D10">_xlfn.XLOOKUP(Table94[[#This Row],[Account]],Table2[[#All],[Account]],Table2[[#All],[Owner]])</f>
        <v/>
      </c>
      <c r="E10" s="37" t="inlineStr">
        <is>
          <t>Closed</t>
        </is>
      </c>
      <c r="F10" s="37" t="inlineStr">
        <is>
          <t>AAPL</t>
        </is>
      </c>
      <c r="G10" s="31">
        <f t="array" ref="G10">_xlfn.XLOOKUP(Table94[[#This Row],[Symbol]],Table36[[#All],[Symbol]],Table36[[#All],[Security Description]])</f>
        <v/>
      </c>
      <c r="H10" s="8" t="n">
        <v>42359</v>
      </c>
      <c r="I10" s="9">
        <f>Table94[[#This Row],[Symbol]]&amp;" "&amp;Table94[[#This Row],[Date Acquired]]</f>
        <v/>
      </c>
      <c r="J10" s="37">
        <f>7/4</f>
        <v/>
      </c>
      <c r="K10" s="38">
        <f>4*26.83</f>
        <v/>
      </c>
      <c r="L10" s="39" t="n">
        <v>45608</v>
      </c>
      <c r="M10" s="37" t="inlineStr">
        <is>
          <t>Yes</t>
        </is>
      </c>
      <c r="N10" s="37" t="n">
        <v>7</v>
      </c>
      <c r="O10" s="38">
        <f>IF(Table94[[#This Row],[Transaction]]="Closed",Table94[[#This Row],[Proceeds]]/Table94[[#This Row],[Shares Sold]],"")</f>
        <v/>
      </c>
      <c r="P10" s="38" t="n">
        <v>1573.12</v>
      </c>
    </row>
    <row r="11" ht="14" customHeight="1">
      <c r="B11" s="37" t="inlineStr">
        <is>
          <t>XX123</t>
        </is>
      </c>
      <c r="C11" s="37">
        <f t="array" ref="C11">_xlfn.XLOOKUP(Table94[[#This Row],[Account]],Table2[[#All],[Account]],Table2[[#All],[Account Type2]])</f>
        <v/>
      </c>
      <c r="D11" s="37">
        <f t="array" ref="D11">_xlfn.XLOOKUP(Table94[[#This Row],[Account]],Table2[[#All],[Account]],Table2[[#All],[Owner]])</f>
        <v/>
      </c>
      <c r="E11" s="37" t="inlineStr">
        <is>
          <t>Closed</t>
        </is>
      </c>
      <c r="F11" s="37" t="inlineStr">
        <is>
          <t>AAPL</t>
        </is>
      </c>
      <c r="G11" s="31">
        <f t="array" ref="G11">_xlfn.XLOOKUP(Table94[[#This Row],[Symbol]],Table36[[#All],[Symbol]],Table36[[#All],[Security Description]])</f>
        <v/>
      </c>
      <c r="H11" s="8" t="n">
        <v>42359</v>
      </c>
      <c r="I11" s="9">
        <f>Table94[[#This Row],[Symbol]]&amp;" "&amp;Table94[[#This Row],[Date Acquired]]</f>
        <v/>
      </c>
      <c r="J11" s="37">
        <f>22/4</f>
        <v/>
      </c>
      <c r="K11" s="38">
        <f>4*26.83</f>
        <v/>
      </c>
      <c r="L11" s="39" t="n">
        <v>45698</v>
      </c>
      <c r="M11" s="37" t="n"/>
      <c r="N11" s="37">
        <f>Table94[[#This Row],[Shares Bought]]</f>
        <v/>
      </c>
      <c r="O11" s="38" t="n">
        <v>229.405</v>
      </c>
      <c r="P11" s="38" t="n">
        <v>5046.91</v>
      </c>
    </row>
    <row r="12" ht="14" customHeight="1">
      <c r="B12" s="37" t="inlineStr">
        <is>
          <t>XX456</t>
        </is>
      </c>
      <c r="C12" s="37">
        <f t="array" ref="C12">_xlfn.XLOOKUP(Table94[[#This Row],[Account]],Table2[[#All],[Account]],Table2[[#All],[Account Type2]])</f>
        <v/>
      </c>
      <c r="D12" s="37">
        <f t="array" ref="D12">_xlfn.XLOOKUP(Table94[[#This Row],[Account]],Table2[[#All],[Account]],Table2[[#All],[Owner]])</f>
        <v/>
      </c>
      <c r="E12" s="37" t="inlineStr">
        <is>
          <t>Open</t>
        </is>
      </c>
      <c r="F12" s="37" t="inlineStr">
        <is>
          <t>AAPL</t>
        </is>
      </c>
      <c r="G12" s="31">
        <f t="array" ref="G12">_xlfn.XLOOKUP(Table94[[#This Row],[Symbol]],Table36[[#All],[Symbol]],Table36[[#All],[Security Description]])</f>
        <v/>
      </c>
      <c r="H12" s="8" t="n">
        <v>43837</v>
      </c>
      <c r="I12" s="9">
        <f>Table94[[#This Row],[Symbol]]&amp;" "&amp;Table94[[#This Row],[Date Acquired]]</f>
        <v/>
      </c>
      <c r="J12" s="37">
        <f>32/4</f>
        <v/>
      </c>
      <c r="K12" s="38">
        <f>4*74.93</f>
        <v/>
      </c>
      <c r="L12" s="39" t="n"/>
      <c r="M12" s="37" t="n"/>
      <c r="N12" s="37" t="n"/>
      <c r="O12" s="38">
        <f>IF(Table94[[#This Row],[Transaction]]="Closed",Table94[[#This Row],[Proceeds]]/Table94[[#This Row],[Shares Sold]],"")</f>
        <v/>
      </c>
      <c r="P12" s="38" t="n"/>
    </row>
    <row r="13" ht="14" customHeight="1">
      <c r="B13" s="37" t="inlineStr">
        <is>
          <t>XX123</t>
        </is>
      </c>
      <c r="C13" s="37">
        <f t="array" ref="C13">_xlfn.XLOOKUP(Table94[[#This Row],[Account]],Table2[[#All],[Account]],Table2[[#All],[Account Type2]])</f>
        <v/>
      </c>
      <c r="D13" s="37">
        <f t="array" ref="D13">_xlfn.XLOOKUP(Table94[[#This Row],[Account]],Table2[[#All],[Account]],Table2[[#All],[Owner]])</f>
        <v/>
      </c>
      <c r="E13" s="37" t="inlineStr">
        <is>
          <t>Open</t>
        </is>
      </c>
      <c r="F13" s="37" t="inlineStr">
        <is>
          <t>AAPL</t>
        </is>
      </c>
      <c r="G13" s="31">
        <f t="array" ref="G13">_xlfn.XLOOKUP(Table94[[#This Row],[Symbol]],Table36[[#All],[Symbol]],Table36[[#All],[Security Description]])</f>
        <v/>
      </c>
      <c r="H13" s="8" t="n">
        <v>44365</v>
      </c>
      <c r="I13" s="9">
        <f>Table94[[#This Row],[Symbol]]&amp;" "&amp;Table94[[#This Row],[Date Acquired]]</f>
        <v/>
      </c>
      <c r="J13" s="37" t="n">
        <v>0.763</v>
      </c>
      <c r="K13" s="38" t="n">
        <v>130.96</v>
      </c>
      <c r="L13" s="39" t="n"/>
      <c r="M13" s="37" t="n"/>
      <c r="N13" s="37" t="n"/>
      <c r="O13" s="38">
        <f>IF(Table94[[#This Row],[Transaction]]="Closed",Table94[[#This Row],[Proceeds]]/Table94[[#This Row],[Shares Sold]],"")</f>
        <v/>
      </c>
      <c r="P13" s="38" t="n"/>
    </row>
    <row r="14" ht="14" customHeight="1">
      <c r="B14" s="37" t="inlineStr">
        <is>
          <t>XX456</t>
        </is>
      </c>
      <c r="C14" s="37">
        <f t="array" ref="C14">_xlfn.XLOOKUP(Table94[[#This Row],[Account]],Table2[[#All],[Account]],Table2[[#All],[Account Type2]])</f>
        <v/>
      </c>
      <c r="D14" s="37">
        <f t="array" ref="D14">_xlfn.XLOOKUP(Table94[[#This Row],[Account]],Table2[[#All],[Account]],Table2[[#All],[Owner]])</f>
        <v/>
      </c>
      <c r="E14" s="37" t="inlineStr">
        <is>
          <t>Open</t>
        </is>
      </c>
      <c r="F14" s="37" t="inlineStr">
        <is>
          <t>AAPL</t>
        </is>
      </c>
      <c r="G14" s="31">
        <f t="array" ref="G14">_xlfn.XLOOKUP(Table94[[#This Row],[Symbol]],Table36[[#All],[Symbol]],Table36[[#All],[Security Description]])</f>
        <v/>
      </c>
      <c r="H14" s="8" t="n">
        <v>44657</v>
      </c>
      <c r="I14" s="9">
        <f>Table94[[#This Row],[Symbol]]&amp;" "&amp;Table94[[#This Row],[Date Acquired]]</f>
        <v/>
      </c>
      <c r="J14" s="37" t="n">
        <v>29.269</v>
      </c>
      <c r="K14" s="38" t="n">
        <v>170.82</v>
      </c>
      <c r="L14" s="39" t="n"/>
      <c r="M14" s="37" t="n"/>
      <c r="N14" s="37" t="n"/>
      <c r="O14" s="38">
        <f>IF(Table94[[#This Row],[Transaction]]="Closed",Table94[[#This Row],[Proceeds]]/Table94[[#This Row],[Shares Sold]],"")</f>
        <v/>
      </c>
      <c r="P14" s="38" t="n"/>
    </row>
    <row r="15" ht="14" customHeight="1">
      <c r="B15" s="37" t="inlineStr">
        <is>
          <t>XX123</t>
        </is>
      </c>
      <c r="C15" s="37">
        <f t="array" ref="C15">_xlfn.XLOOKUP(Table94[[#This Row],[Account]],Table2[[#All],[Account]],Table2[[#All],[Account Type2]])</f>
        <v/>
      </c>
      <c r="D15" s="37">
        <f t="array" ref="D15">_xlfn.XLOOKUP(Table94[[#This Row],[Account]],Table2[[#All],[Account]],Table2[[#All],[Owner]])</f>
        <v/>
      </c>
      <c r="E15" s="37" t="inlineStr">
        <is>
          <t>Open</t>
        </is>
      </c>
      <c r="F15" s="37" t="inlineStr">
        <is>
          <t>AAPL</t>
        </is>
      </c>
      <c r="G15" s="31">
        <f t="array" ref="G15">_xlfn.XLOOKUP(Table94[[#This Row],[Symbol]],Table36[[#All],[Symbol]],Table36[[#All],[Security Description]])</f>
        <v/>
      </c>
      <c r="H15" s="8" t="n">
        <v>44683</v>
      </c>
      <c r="I15" s="9">
        <f>Table94[[#This Row],[Symbol]]&amp;" "&amp;Table94[[#This Row],[Date Acquired]]</f>
        <v/>
      </c>
      <c r="J15" s="37">
        <f>32.491</f>
        <v/>
      </c>
      <c r="K15" s="38" t="n">
        <v>153.885</v>
      </c>
      <c r="L15" s="39" t="n"/>
      <c r="M15" s="37" t="n"/>
      <c r="N15" s="37" t="n"/>
      <c r="O15" s="38">
        <f>IF(Table94[[#This Row],[Transaction]]="Closed",Table94[[#This Row],[Proceeds]]/Table94[[#This Row],[Shares Sold]],"")</f>
        <v/>
      </c>
      <c r="P15" s="38" t="n"/>
    </row>
    <row r="16" ht="14" customHeight="1">
      <c r="B16" s="37" t="inlineStr">
        <is>
          <t>XX123</t>
        </is>
      </c>
      <c r="C16" s="37">
        <f t="array" ref="C16">_xlfn.XLOOKUP(Table94[[#This Row],[Account]],Table2[[#All],[Account]],Table2[[#All],[Account Type2]])</f>
        <v/>
      </c>
      <c r="D16" s="37">
        <f t="array" ref="D16">_xlfn.XLOOKUP(Table94[[#This Row],[Account]],Table2[[#All],[Account]],Table2[[#All],[Owner]])</f>
        <v/>
      </c>
      <c r="E16" s="37" t="inlineStr">
        <is>
          <t>Open</t>
        </is>
      </c>
      <c r="F16" s="37" t="inlineStr">
        <is>
          <t>AAPL</t>
        </is>
      </c>
      <c r="G16" s="31">
        <f t="array" ref="G16">_xlfn.XLOOKUP(Table94[[#This Row],[Symbol]],Table36[[#All],[Symbol]],Table36[[#All],[Security Description]])</f>
        <v/>
      </c>
      <c r="H16" s="8" t="n">
        <v>45022</v>
      </c>
      <c r="I16" s="9">
        <f>Table94[[#This Row],[Symbol]]&amp;" "&amp;Table94[[#This Row],[Date Acquired]]</f>
        <v/>
      </c>
      <c r="J16" s="37" t="n">
        <v>0.152</v>
      </c>
      <c r="K16" s="38" t="n">
        <v>164.47</v>
      </c>
      <c r="L16" s="39" t="n"/>
      <c r="M16" s="37" t="n"/>
      <c r="N16" s="37" t="n"/>
      <c r="O16" s="38">
        <f>IF(Table94[[#This Row],[Transaction]]="Closed",Table94[[#This Row],[Proceeds]]/Table94[[#This Row],[Shares Sold]],"")</f>
        <v/>
      </c>
      <c r="P16" s="38" t="n"/>
    </row>
    <row r="17" ht="14" customHeight="1">
      <c r="B17" s="37" t="inlineStr">
        <is>
          <t>XX123</t>
        </is>
      </c>
      <c r="C17" s="37">
        <f t="array" ref="C17">_xlfn.XLOOKUP(Table94[[#This Row],[Account]],Table2[[#All],[Account]],Table2[[#All],[Account Type2]])</f>
        <v/>
      </c>
      <c r="D17" s="37">
        <f t="array" ref="D17">_xlfn.XLOOKUP(Table94[[#This Row],[Account]],Table2[[#All],[Account]],Table2[[#All],[Owner]])</f>
        <v/>
      </c>
      <c r="E17" s="37" t="inlineStr">
        <is>
          <t>Open</t>
        </is>
      </c>
      <c r="F17" s="37" t="inlineStr">
        <is>
          <t>AAPL</t>
        </is>
      </c>
      <c r="G17" s="31">
        <f t="array" ref="G17">_xlfn.XLOOKUP(Table94[[#This Row],[Symbol]],Table36[[#All],[Symbol]],Table36[[#All],[Security Description]])</f>
        <v/>
      </c>
      <c r="H17" s="8" t="n">
        <v>45079</v>
      </c>
      <c r="I17" s="9">
        <f>Table94[[#This Row],[Symbol]]&amp;" "&amp;Table94[[#This Row],[Date Acquired]]</f>
        <v/>
      </c>
      <c r="J17" s="37" t="n">
        <v>0.138</v>
      </c>
      <c r="K17" s="38" t="n">
        <v>180.94</v>
      </c>
      <c r="L17" s="39" t="n"/>
      <c r="M17" s="37" t="n"/>
      <c r="N17" s="37" t="n"/>
      <c r="O17" s="38">
        <f>IF(Table94[[#This Row],[Transaction]]="Closed",Table94[[#This Row],[Proceeds]]/Table94[[#This Row],[Shares Sold]],"")</f>
        <v/>
      </c>
      <c r="P17" s="38" t="n"/>
    </row>
    <row r="18" ht="14" customHeight="1">
      <c r="B18" s="37" t="inlineStr">
        <is>
          <t>XX123</t>
        </is>
      </c>
      <c r="C18" s="37">
        <f t="array" ref="C18">_xlfn.XLOOKUP(Table94[[#This Row],[Account]],Table2[[#All],[Account]],Table2[[#All],[Account Type2]])</f>
        <v/>
      </c>
      <c r="D18" s="37">
        <f t="array" ref="D18">_xlfn.XLOOKUP(Table94[[#This Row],[Account]],Table2[[#All],[Account]],Table2[[#All],[Owner]])</f>
        <v/>
      </c>
      <c r="E18" s="37" t="inlineStr">
        <is>
          <t>Open</t>
        </is>
      </c>
      <c r="F18" s="37" t="inlineStr">
        <is>
          <t>AAPL</t>
        </is>
      </c>
      <c r="G18" s="31">
        <f t="array" ref="G18">_xlfn.XLOOKUP(Table94[[#This Row],[Symbol]],Table36[[#All],[Symbol]],Table36[[#All],[Security Description]])</f>
        <v/>
      </c>
      <c r="H18" s="8" t="n">
        <v>45215</v>
      </c>
      <c r="I18" s="9">
        <f>Table94[[#This Row],[Symbol]]&amp;" "&amp;Table94[[#This Row],[Date Acquired]]</f>
        <v/>
      </c>
      <c r="J18" s="37" t="n">
        <v>0.252</v>
      </c>
      <c r="K18" s="38" t="n">
        <v>177.976</v>
      </c>
      <c r="L18" s="39" t="n"/>
      <c r="M18" s="37" t="n"/>
      <c r="N18" s="37" t="n"/>
      <c r="O18" s="38">
        <f>IF(Table94[[#This Row],[Transaction]]="Closed",Table94[[#This Row],[Proceeds]]/Table94[[#This Row],[Shares Sold]],"")</f>
        <v/>
      </c>
      <c r="P18" s="38" t="n"/>
    </row>
    <row r="19" ht="14" customHeight="1">
      <c r="B19" s="37" t="inlineStr">
        <is>
          <t>XX123</t>
        </is>
      </c>
      <c r="C19" s="37">
        <f t="array" ref="C19">_xlfn.XLOOKUP(Table94[[#This Row],[Account]],Table2[[#All],[Account]],Table2[[#All],[Account Type2]])</f>
        <v/>
      </c>
      <c r="D19" s="37">
        <f t="array" ref="D19">_xlfn.XLOOKUP(Table94[[#This Row],[Account]],Table2[[#All],[Account]],Table2[[#All],[Owner]])</f>
        <v/>
      </c>
      <c r="E19" s="37" t="inlineStr">
        <is>
          <t>Open</t>
        </is>
      </c>
      <c r="F19" s="37" t="inlineStr">
        <is>
          <t>AAPL</t>
        </is>
      </c>
      <c r="G19" s="31">
        <f t="array" ref="G19">_xlfn.XLOOKUP(Table94[[#This Row],[Symbol]],Table36[[#All],[Symbol]],Table36[[#All],[Security Description]])</f>
        <v/>
      </c>
      <c r="H19" s="8" t="n">
        <v>45481</v>
      </c>
      <c r="I19" s="9">
        <f>Table94[[#This Row],[Symbol]]&amp;" "&amp;Table94[[#This Row],[Date Acquired]]</f>
        <v/>
      </c>
      <c r="J19" s="37" t="n">
        <v>22</v>
      </c>
      <c r="K19" s="38" t="n">
        <v>225.52</v>
      </c>
      <c r="L19" s="39" t="n"/>
      <c r="M19" s="37" t="n"/>
      <c r="N19" s="37" t="n"/>
      <c r="O19" s="38">
        <f>IF(Table94[[#This Row],[Transaction]]="Closed",Table94[[#This Row],[Proceeds]]/Table94[[#This Row],[Shares Sold]],"")</f>
        <v/>
      </c>
      <c r="P19" s="38" t="n"/>
    </row>
    <row r="20" ht="14" customHeight="1">
      <c r="B20" s="37" t="inlineStr">
        <is>
          <t>XX456</t>
        </is>
      </c>
      <c r="C20" s="37">
        <f t="array" ref="C20">_xlfn.XLOOKUP(Table94[[#This Row],[Account]],Table2[[#All],[Account]],Table2[[#All],[Account Type2]])</f>
        <v/>
      </c>
      <c r="D20" s="37">
        <f t="array" ref="D20">_xlfn.XLOOKUP(Table94[[#This Row],[Account]],Table2[[#All],[Account]],Table2[[#All],[Owner]])</f>
        <v/>
      </c>
      <c r="E20" s="37" t="inlineStr">
        <is>
          <t>Open</t>
        </is>
      </c>
      <c r="F20" s="37" t="inlineStr">
        <is>
          <t>NFLX</t>
        </is>
      </c>
      <c r="G20" s="31">
        <f t="array" ref="G20">_xlfn.XLOOKUP(Table94[[#This Row],[Symbol]],Table36[[#All],[Symbol]],Table36[[#All],[Security Description]])</f>
        <v/>
      </c>
      <c r="H20" s="8" t="n">
        <v>41758</v>
      </c>
      <c r="I20" s="9">
        <f>Table94[[#This Row],[Symbol]]&amp;" "&amp;Table94[[#This Row],[Date Acquired]]</f>
        <v/>
      </c>
      <c r="J20" s="37" t="n">
        <v>1</v>
      </c>
      <c r="K20" s="38">
        <f>70*4.498</f>
        <v/>
      </c>
      <c r="L20" s="39" t="n"/>
      <c r="M20" s="37" t="n"/>
      <c r="N20" s="37" t="n"/>
      <c r="O20" s="38">
        <f>IF(Table94[[#This Row],[Transaction]]="Closed",Table94[[#This Row],[Proceeds]]/Table94[[#This Row],[Shares Sold]],"")</f>
        <v/>
      </c>
      <c r="P20" s="38" t="n"/>
    </row>
    <row r="21" ht="14" customHeight="1">
      <c r="B21" s="37" t="inlineStr">
        <is>
          <t>XX456</t>
        </is>
      </c>
      <c r="C21" s="37">
        <f t="array" ref="C21">_xlfn.XLOOKUP(Table94[[#This Row],[Account]],Table2[[#All],[Account]],Table2[[#All],[Account Type2]])</f>
        <v/>
      </c>
      <c r="D21" s="37">
        <f t="array" ref="D21">_xlfn.XLOOKUP(Table94[[#This Row],[Account]],Table2[[#All],[Account]],Table2[[#All],[Owner]])</f>
        <v/>
      </c>
      <c r="E21" s="37" t="inlineStr">
        <is>
          <t>Closed</t>
        </is>
      </c>
      <c r="F21" s="37" t="inlineStr">
        <is>
          <t>NFLX</t>
        </is>
      </c>
      <c r="G21" s="31">
        <f t="array" ref="G21">_xlfn.XLOOKUP(Table94[[#This Row],[Symbol]],Table36[[#All],[Symbol]],Table36[[#All],[Security Description]])</f>
        <v/>
      </c>
      <c r="H21" s="8" t="n">
        <v>41758</v>
      </c>
      <c r="I21" s="9">
        <f>Table94[[#This Row],[Symbol]]&amp;" "&amp;Table94[[#This Row],[Date Acquired]]</f>
        <v/>
      </c>
      <c r="J21" s="37">
        <f>5/7</f>
        <v/>
      </c>
      <c r="K21" s="38">
        <f>7*44.98</f>
        <v/>
      </c>
      <c r="L21" s="39" t="n">
        <v>43143</v>
      </c>
      <c r="M21" s="37" t="n"/>
      <c r="N21" s="37" t="n">
        <v>5</v>
      </c>
      <c r="O21" s="38">
        <f>IF(Table94[[#This Row],[Transaction]]="Closed",Table94[[#This Row],[Proceeds]]/Table94[[#This Row],[Shares Sold]],"")</f>
        <v/>
      </c>
      <c r="P21" s="38" t="n">
        <v>1275.74</v>
      </c>
    </row>
    <row r="22" ht="14" customHeight="1">
      <c r="B22" s="37" t="inlineStr">
        <is>
          <t>XX456</t>
        </is>
      </c>
      <c r="C22" s="37">
        <f t="array" ref="C22">_xlfn.XLOOKUP(Table94[[#This Row],[Account]],Table2[[#All],[Account]],Table2[[#All],[Account Type2]])</f>
        <v/>
      </c>
      <c r="D22" s="37">
        <f t="array" ref="D22">_xlfn.XLOOKUP(Table94[[#This Row],[Account]],Table2[[#All],[Account]],Table2[[#All],[Owner]])</f>
        <v/>
      </c>
      <c r="E22" s="37" t="inlineStr">
        <is>
          <t>Closed</t>
        </is>
      </c>
      <c r="F22" s="37" t="inlineStr">
        <is>
          <t>NFLX</t>
        </is>
      </c>
      <c r="G22" s="31">
        <f t="array" ref="G22">_xlfn.XLOOKUP(Table94[[#This Row],[Symbol]],Table36[[#All],[Symbol]],Table36[[#All],[Security Description]])</f>
        <v/>
      </c>
      <c r="H22" s="8" t="n">
        <v>41758</v>
      </c>
      <c r="I22" s="9">
        <f>Table94[[#This Row],[Symbol]]&amp;" "&amp;Table94[[#This Row],[Date Acquired]]</f>
        <v/>
      </c>
      <c r="J22" s="37">
        <f>2/7</f>
        <v/>
      </c>
      <c r="K22" s="38">
        <f>7*44.98</f>
        <v/>
      </c>
      <c r="L22" s="39" t="n">
        <v>44406</v>
      </c>
      <c r="M22" s="37" t="inlineStr">
        <is>
          <t>Yes</t>
        </is>
      </c>
      <c r="N22" s="37" t="n">
        <v>2</v>
      </c>
      <c r="O22" s="38">
        <f>IF(Table94[[#This Row],[Transaction]]="Closed",Table94[[#This Row],[Proceeds]]/Table94[[#This Row],[Shares Sold]],"")</f>
        <v/>
      </c>
      <c r="P22" s="38" t="n">
        <v>1028.5</v>
      </c>
    </row>
    <row r="23" ht="14" customHeight="1">
      <c r="B23" s="37" t="inlineStr">
        <is>
          <t>XX456</t>
        </is>
      </c>
      <c r="C23" s="37">
        <f t="array" ref="C23">_xlfn.XLOOKUP(Table94[[#This Row],[Account]],Table2[[#All],[Account]],Table2[[#All],[Account Type2]])</f>
        <v/>
      </c>
      <c r="D23" s="37">
        <f t="array" ref="D23">_xlfn.XLOOKUP(Table94[[#This Row],[Account]],Table2[[#All],[Account]],Table2[[#All],[Owner]])</f>
        <v/>
      </c>
      <c r="E23" s="37" t="inlineStr">
        <is>
          <t>Closed</t>
        </is>
      </c>
      <c r="F23" s="37" t="inlineStr">
        <is>
          <t>NFLX</t>
        </is>
      </c>
      <c r="G23" s="31">
        <f t="array" ref="G23">_xlfn.XLOOKUP(Table94[[#This Row],[Symbol]],Table36[[#All],[Symbol]],Table36[[#All],[Security Description]])</f>
        <v/>
      </c>
      <c r="H23" s="8" t="n">
        <v>41758</v>
      </c>
      <c r="I23" s="9">
        <f>Table94[[#This Row],[Symbol]]&amp;" "&amp;Table94[[#This Row],[Date Acquired]]</f>
        <v/>
      </c>
      <c r="J23" s="37">
        <f>2/7</f>
        <v/>
      </c>
      <c r="K23" s="38">
        <f>7*44.98</f>
        <v/>
      </c>
      <c r="L23" s="39" t="n">
        <v>44564</v>
      </c>
      <c r="M23" s="37" t="inlineStr">
        <is>
          <t>Yes</t>
        </is>
      </c>
      <c r="N23" s="37" t="n">
        <v>2</v>
      </c>
      <c r="O23" s="38">
        <f>IF(Table94[[#This Row],[Transaction]]="Closed",Table94[[#This Row],[Proceeds]]/Table94[[#This Row],[Shares Sold]],"")</f>
        <v/>
      </c>
      <c r="P23" s="38" t="n">
        <v>1194.74</v>
      </c>
    </row>
    <row r="24" ht="14" customHeight="1">
      <c r="B24" s="37" t="inlineStr">
        <is>
          <t>XX456</t>
        </is>
      </c>
      <c r="C24" s="37">
        <f t="array" ref="C24">_xlfn.XLOOKUP(Table94[[#This Row],[Account]],Table2[[#All],[Account]],Table2[[#All],[Account Type2]])</f>
        <v/>
      </c>
      <c r="D24" s="37">
        <f t="array" ref="D24">_xlfn.XLOOKUP(Table94[[#This Row],[Account]],Table2[[#All],[Account]],Table2[[#All],[Owner]])</f>
        <v/>
      </c>
      <c r="E24" s="37" t="inlineStr">
        <is>
          <t>Closed</t>
        </is>
      </c>
      <c r="F24" s="37" t="inlineStr">
        <is>
          <t>NFLX</t>
        </is>
      </c>
      <c r="G24" s="31">
        <f t="array" ref="G24">_xlfn.XLOOKUP(Table94[[#This Row],[Symbol]],Table36[[#All],[Symbol]],Table36[[#All],[Security Description]])</f>
        <v/>
      </c>
      <c r="H24" s="8" t="n">
        <v>41758</v>
      </c>
      <c r="I24" s="9">
        <f>Table94[[#This Row],[Symbol]]&amp;" "&amp;Table94[[#This Row],[Date Acquired]]</f>
        <v/>
      </c>
      <c r="J24" s="37">
        <f>2/7</f>
        <v/>
      </c>
      <c r="K24" s="38">
        <f>7*44.98</f>
        <v/>
      </c>
      <c r="L24" s="39" t="n">
        <v>45148</v>
      </c>
      <c r="M24" s="37" t="inlineStr">
        <is>
          <t>Yes</t>
        </is>
      </c>
      <c r="N24" s="37" t="n">
        <v>2</v>
      </c>
      <c r="O24" s="38" t="n">
        <v>429.98</v>
      </c>
      <c r="P24" s="38" t="n">
        <v>859.96</v>
      </c>
    </row>
    <row r="25" ht="14" customHeight="1">
      <c r="B25" s="37" t="inlineStr">
        <is>
          <t>XX456</t>
        </is>
      </c>
      <c r="C25" s="37">
        <f t="array" ref="C25">_xlfn.XLOOKUP(Table94[[#This Row],[Account]],Table2[[#All],[Account]],Table2[[#All],[Account Type2]])</f>
        <v/>
      </c>
      <c r="D25" s="37">
        <f t="array" ref="D25">_xlfn.XLOOKUP(Table94[[#This Row],[Account]],Table2[[#All],[Account]],Table2[[#All],[Owner]])</f>
        <v/>
      </c>
      <c r="E25" s="37" t="inlineStr">
        <is>
          <t>Closed</t>
        </is>
      </c>
      <c r="F25" s="37" t="inlineStr">
        <is>
          <t>NFLX</t>
        </is>
      </c>
      <c r="G25" s="31">
        <f t="array" ref="G25">_xlfn.XLOOKUP(Table94[[#This Row],[Symbol]],Table36[[#All],[Symbol]],Table36[[#All],[Security Description]])</f>
        <v/>
      </c>
      <c r="H25" s="8" t="n">
        <v>41758</v>
      </c>
      <c r="I25" s="9">
        <f>Table94[[#This Row],[Symbol]]&amp;" "&amp;Table94[[#This Row],[Date Acquired]]</f>
        <v/>
      </c>
      <c r="J25" s="37">
        <f>2/7</f>
        <v/>
      </c>
      <c r="K25" s="38">
        <f>7*44.98</f>
        <v/>
      </c>
      <c r="L25" s="39" t="n">
        <v>45608</v>
      </c>
      <c r="M25" s="37" t="inlineStr">
        <is>
          <t>Yes</t>
        </is>
      </c>
      <c r="N25" s="37" t="n">
        <v>2</v>
      </c>
      <c r="O25" s="38">
        <f>IF(Table94[[#This Row],[Transaction]]="Closed",Table94[[#This Row],[Proceeds]]/Table94[[#This Row],[Shares Sold]],"")</f>
        <v/>
      </c>
      <c r="P25" s="38" t="n">
        <v>1625.21</v>
      </c>
    </row>
    <row r="26" ht="14" customHeight="1">
      <c r="B26" s="37" t="inlineStr">
        <is>
          <t>XX456</t>
        </is>
      </c>
      <c r="C26" s="37">
        <f t="array" ref="C26">_xlfn.XLOOKUP(Table94[[#This Row],[Account]],Table2[[#All],[Account]],Table2[[#All],[Account Type2]])</f>
        <v/>
      </c>
      <c r="D26" s="37">
        <f t="array" ref="D26">_xlfn.XLOOKUP(Table94[[#This Row],[Account]],Table2[[#All],[Account]],Table2[[#All],[Owner]])</f>
        <v/>
      </c>
      <c r="E26" s="37" t="inlineStr">
        <is>
          <t>Closed</t>
        </is>
      </c>
      <c r="F26" s="37" t="inlineStr">
        <is>
          <t>NFLX</t>
        </is>
      </c>
      <c r="G26" s="31">
        <f t="array" ref="G26">_xlfn.XLOOKUP(Table94[[#This Row],[Symbol]],Table36[[#All],[Symbol]],Table36[[#All],[Security Description]])</f>
        <v/>
      </c>
      <c r="H26" s="8" t="n">
        <v>41758</v>
      </c>
      <c r="I26" s="9">
        <f>Table94[[#This Row],[Symbol]]&amp;" "&amp;Table94[[#This Row],[Date Acquired]]</f>
        <v/>
      </c>
      <c r="J26" s="37">
        <f>1/7</f>
        <v/>
      </c>
      <c r="K26" s="38">
        <f>7*44.98</f>
        <v/>
      </c>
      <c r="L26" s="39" t="n">
        <v>45680</v>
      </c>
      <c r="M26" s="37" t="inlineStr">
        <is>
          <t>Yes</t>
        </is>
      </c>
      <c r="N26" s="37" t="n">
        <v>1</v>
      </c>
      <c r="O26" s="38">
        <f>IF(Table94[[#This Row],[Transaction]]="Closed",Table94[[#This Row],[Proceeds]]/Table94[[#This Row],[Shares Sold]],"")</f>
        <v/>
      </c>
      <c r="P26" s="38" t="n">
        <v>984.86</v>
      </c>
    </row>
    <row r="27" ht="14" customHeight="1">
      <c r="B27" s="37" t="inlineStr">
        <is>
          <t>XX456</t>
        </is>
      </c>
      <c r="C27" s="37">
        <f t="array" ref="C27">_xlfn.XLOOKUP(Table94[[#This Row],[Account]],Table2[[#All],[Account]],Table2[[#All],[Account Type2]])</f>
        <v/>
      </c>
      <c r="D27" s="37">
        <f t="array" ref="D27">_xlfn.XLOOKUP(Table94[[#This Row],[Account]],Table2[[#All],[Account]],Table2[[#All],[Owner]])</f>
        <v/>
      </c>
      <c r="E27" s="37" t="inlineStr">
        <is>
          <t>Open</t>
        </is>
      </c>
      <c r="F27" s="37" t="inlineStr">
        <is>
          <t>NFLX</t>
        </is>
      </c>
      <c r="G27" s="31">
        <f t="array" ref="G27">_xlfn.XLOOKUP(Table94[[#This Row],[Symbol]],Table36[[#All],[Symbol]],Table36[[#All],[Security Description]])</f>
        <v/>
      </c>
      <c r="H27" s="8" t="n">
        <v>41807</v>
      </c>
      <c r="I27" s="9">
        <f>Table94[[#This Row],[Symbol]]&amp;" "&amp;Table94[[#This Row],[Date Acquired]]</f>
        <v/>
      </c>
      <c r="J27" s="37">
        <f>10/70</f>
        <v/>
      </c>
      <c r="K27" s="38">
        <f>70*6.314</f>
        <v/>
      </c>
      <c r="L27" s="39" t="n"/>
      <c r="M27" s="37" t="n"/>
      <c r="N27" s="37" t="n"/>
      <c r="O27" s="38">
        <f>IF(Table94[[#This Row],[Transaction]]="Closed",Table94[[#This Row],[Proceeds]]/Table94[[#This Row],[Shares Sold]],"")</f>
        <v/>
      </c>
      <c r="P27" s="38" t="n"/>
    </row>
    <row r="28" ht="14" customHeight="1">
      <c r="B28" s="37" t="inlineStr">
        <is>
          <t>XX456</t>
        </is>
      </c>
      <c r="C28" s="37">
        <f t="array" ref="C28">_xlfn.XLOOKUP(Table94[[#This Row],[Account]],Table2[[#All],[Account]],Table2[[#All],[Account Type2]])</f>
        <v/>
      </c>
      <c r="D28" s="37">
        <f t="array" ref="D28">_xlfn.XLOOKUP(Table94[[#This Row],[Account]],Table2[[#All],[Account]],Table2[[#All],[Owner]])</f>
        <v/>
      </c>
      <c r="E28" s="37" t="inlineStr">
        <is>
          <t>Closed</t>
        </is>
      </c>
      <c r="F28" s="37" t="inlineStr">
        <is>
          <t>NFLX</t>
        </is>
      </c>
      <c r="G28" s="31">
        <f t="array" ref="G28">_xlfn.XLOOKUP(Table94[[#This Row],[Symbol]],Table36[[#All],[Symbol]],Table36[[#All],[Security Description]])</f>
        <v/>
      </c>
      <c r="H28" s="8" t="n">
        <v>41807</v>
      </c>
      <c r="I28" s="9">
        <f>Table94[[#This Row],[Symbol]]&amp;" "&amp;Table94[[#This Row],[Date Acquired]]</f>
        <v/>
      </c>
      <c r="J28" s="37">
        <f>3/7</f>
        <v/>
      </c>
      <c r="K28" s="38">
        <f>7*63.14</f>
        <v/>
      </c>
      <c r="L28" s="39" t="n">
        <v>44074</v>
      </c>
      <c r="M28" s="37" t="n"/>
      <c r="N28" s="37" t="n">
        <v>3</v>
      </c>
      <c r="O28" s="38">
        <f>IF(Table94[[#This Row],[Transaction]]="Closed",Table94[[#This Row],[Proceeds]]/Table94[[#This Row],[Shares Sold]],"")</f>
        <v/>
      </c>
      <c r="P28" s="38" t="n">
        <v>1568.75</v>
      </c>
    </row>
    <row r="29" ht="14" customHeight="1">
      <c r="B29" s="37" t="inlineStr">
        <is>
          <t>XX456</t>
        </is>
      </c>
      <c r="C29" s="37">
        <f t="array" ref="C29">_xlfn.XLOOKUP(Table94[[#This Row],[Account]],Table2[[#All],[Account]],Table2[[#All],[Account Type2]])</f>
        <v/>
      </c>
      <c r="D29" s="37">
        <f t="array" ref="D29">_xlfn.XLOOKUP(Table94[[#This Row],[Account]],Table2[[#All],[Account]],Table2[[#All],[Owner]])</f>
        <v/>
      </c>
      <c r="E29" s="37" t="inlineStr">
        <is>
          <t>Closed</t>
        </is>
      </c>
      <c r="F29" s="37" t="inlineStr">
        <is>
          <t>NFLX</t>
        </is>
      </c>
      <c r="G29" s="31">
        <f t="array" ref="G29">_xlfn.XLOOKUP(Table94[[#This Row],[Symbol]],Table36[[#All],[Symbol]],Table36[[#All],[Security Description]])</f>
        <v/>
      </c>
      <c r="H29" s="8" t="n">
        <v>41807</v>
      </c>
      <c r="I29" s="9">
        <f>Table94[[#This Row],[Symbol]]&amp;" "&amp;Table94[[#This Row],[Date Acquired]]</f>
        <v/>
      </c>
      <c r="J29" s="37">
        <f>10/7</f>
        <v/>
      </c>
      <c r="K29" s="38">
        <f>7*63.14</f>
        <v/>
      </c>
      <c r="L29" s="39" t="n">
        <v>44074</v>
      </c>
      <c r="M29" s="37" t="n"/>
      <c r="N29" s="37" t="n">
        <v>10</v>
      </c>
      <c r="O29" s="38">
        <f>IF(Table94[[#This Row],[Transaction]]="Closed",Table94[[#This Row],[Proceeds]]/Table94[[#This Row],[Shares Sold]],"")</f>
        <v/>
      </c>
      <c r="P29" s="38" t="n">
        <v>5296.68</v>
      </c>
    </row>
    <row r="30" ht="14" customHeight="1">
      <c r="B30" s="37" t="inlineStr">
        <is>
          <t>XX456</t>
        </is>
      </c>
      <c r="C30" s="37">
        <f t="array" ref="C30">_xlfn.XLOOKUP(Table94[[#This Row],[Account]],Table2[[#All],[Account]],Table2[[#All],[Account Type2]])</f>
        <v/>
      </c>
      <c r="D30" s="37">
        <f t="array" ref="D30">_xlfn.XLOOKUP(Table94[[#This Row],[Account]],Table2[[#All],[Account]],Table2[[#All],[Owner]])</f>
        <v/>
      </c>
      <c r="E30" s="37" t="inlineStr">
        <is>
          <t>Open</t>
        </is>
      </c>
      <c r="F30" s="37" t="inlineStr">
        <is>
          <t>NFLX</t>
        </is>
      </c>
      <c r="G30" s="31">
        <f t="array" ref="G30">_xlfn.XLOOKUP(Table94[[#This Row],[Symbol]],Table36[[#All],[Symbol]],Table36[[#All],[Security Description]])</f>
        <v/>
      </c>
      <c r="H30" s="8" t="n">
        <v>41988</v>
      </c>
      <c r="I30" s="9">
        <f>Table94[[#This Row],[Symbol]]&amp;" "&amp;Table94[[#This Row],[Date Acquired]]</f>
        <v/>
      </c>
      <c r="J30" s="37">
        <f>35/7</f>
        <v/>
      </c>
      <c r="K30" s="38">
        <f>70*4.797</f>
        <v/>
      </c>
      <c r="L30" s="39" t="n"/>
      <c r="M30" s="37" t="n"/>
      <c r="N30" s="37" t="n"/>
      <c r="O30" s="38">
        <f>IF(Table94[[#This Row],[Transaction]]="Closed",Table94[[#This Row],[Proceeds]]/Table94[[#This Row],[Shares Sold]],"")</f>
        <v/>
      </c>
      <c r="P30" s="38" t="n"/>
    </row>
    <row r="31" ht="14" customHeight="1">
      <c r="B31" s="37" t="inlineStr">
        <is>
          <t>XX456</t>
        </is>
      </c>
      <c r="C31" s="37">
        <f t="array" ref="C31">_xlfn.XLOOKUP(Table94[[#This Row],[Account]],Table2[[#All],[Account]],Table2[[#All],[Account Type2]])</f>
        <v/>
      </c>
      <c r="D31" s="37">
        <f t="array" ref="D31">_xlfn.XLOOKUP(Table94[[#This Row],[Account]],Table2[[#All],[Account]],Table2[[#All],[Owner]])</f>
        <v/>
      </c>
      <c r="E31" s="37" t="inlineStr">
        <is>
          <t>Closed</t>
        </is>
      </c>
      <c r="F31" s="37" t="inlineStr">
        <is>
          <t>NFLX</t>
        </is>
      </c>
      <c r="G31" s="31">
        <f t="array" ref="G31">_xlfn.XLOOKUP(Table94[[#This Row],[Symbol]],Table36[[#All],[Symbol]],Table36[[#All],[Security Description]])</f>
        <v/>
      </c>
      <c r="H31" s="8" t="n">
        <v>42944</v>
      </c>
      <c r="I31" s="9">
        <f>Table94[[#This Row],[Symbol]]&amp;" "&amp;Table94[[#This Row],[Date Acquired]]</f>
        <v/>
      </c>
      <c r="J31" s="37" t="n">
        <v>16</v>
      </c>
      <c r="K31" s="38" t="n">
        <v>184.553125</v>
      </c>
      <c r="L31" s="39" t="n">
        <v>44074</v>
      </c>
      <c r="M31" s="37" t="n"/>
      <c r="N31" s="37" t="n">
        <v>16</v>
      </c>
      <c r="O31" s="38">
        <f>IF(Table94[[#This Row],[Transaction]]="Closed",Table94[[#This Row],[Proceeds]]/Table94[[#This Row],[Shares Sold]],"")</f>
        <v/>
      </c>
      <c r="P31" s="38" t="n">
        <v>8366.65</v>
      </c>
    </row>
    <row r="32" ht="14" customHeight="1">
      <c r="B32" s="37" t="inlineStr">
        <is>
          <t>XX456</t>
        </is>
      </c>
      <c r="C32" s="37">
        <f t="array" ref="C32">_xlfn.XLOOKUP(Table94[[#This Row],[Account]],Table2[[#All],[Account]],Table2[[#All],[Account Type2]])</f>
        <v/>
      </c>
      <c r="D32" s="37">
        <f t="array" ref="D32">_xlfn.XLOOKUP(Table94[[#This Row],[Account]],Table2[[#All],[Account]],Table2[[#All],[Owner]])</f>
        <v/>
      </c>
      <c r="E32" s="37" t="inlineStr">
        <is>
          <t>Closed</t>
        </is>
      </c>
      <c r="F32" s="37" t="inlineStr">
        <is>
          <t>NFLX</t>
        </is>
      </c>
      <c r="G32" s="31">
        <f t="array" ref="G32">_xlfn.XLOOKUP(Table94[[#This Row],[Symbol]],Table36[[#All],[Symbol]],Table36[[#All],[Security Description]])</f>
        <v/>
      </c>
      <c r="H32" s="8" t="n">
        <v>42944</v>
      </c>
      <c r="I32" s="9">
        <f>Table94[[#This Row],[Symbol]]&amp;" "&amp;Table94[[#This Row],[Date Acquired]]</f>
        <v/>
      </c>
      <c r="J32" s="37" t="n">
        <v>16</v>
      </c>
      <c r="K32" s="38" t="n">
        <v>184.553125</v>
      </c>
      <c r="L32" s="39" t="n">
        <v>44074</v>
      </c>
      <c r="M32" s="37" t="n"/>
      <c r="N32" s="37" t="n">
        <v>16</v>
      </c>
      <c r="O32" s="38">
        <f>IF(Table94[[#This Row],[Transaction]]="Closed",Table94[[#This Row],[Proceeds]]/Table94[[#This Row],[Shares Sold]],"")</f>
        <v/>
      </c>
      <c r="P32" s="38" t="n">
        <v>8366.65</v>
      </c>
    </row>
    <row r="33" ht="14" customHeight="1">
      <c r="B33" s="37" t="inlineStr">
        <is>
          <t>XX456</t>
        </is>
      </c>
      <c r="C33" s="37">
        <f t="array" ref="C33">_xlfn.XLOOKUP(Table94[[#This Row],[Account]],Table2[[#All],[Account]],Table2[[#All],[Account Type2]])</f>
        <v/>
      </c>
      <c r="D33" s="37">
        <f t="array" ref="D33">_xlfn.XLOOKUP(Table94[[#This Row],[Account]],Table2[[#All],[Account]],Table2[[#All],[Owner]])</f>
        <v/>
      </c>
      <c r="E33" s="37" t="inlineStr">
        <is>
          <t>Closed</t>
        </is>
      </c>
      <c r="F33" s="37" t="inlineStr">
        <is>
          <t>NFLX</t>
        </is>
      </c>
      <c r="G33" s="31">
        <f t="array" ref="G33">_xlfn.XLOOKUP(Table94[[#This Row],[Symbol]],Table36[[#All],[Symbol]],Table36[[#All],[Security Description]])</f>
        <v/>
      </c>
      <c r="H33" s="8" t="n">
        <v>43837</v>
      </c>
      <c r="I33" s="9">
        <f>Table94[[#This Row],[Symbol]]&amp;" "&amp;Table94[[#This Row],[Date Acquired]]</f>
        <v/>
      </c>
      <c r="J33" s="37" t="n">
        <v>8</v>
      </c>
      <c r="K33" s="38" t="n">
        <v>333.13</v>
      </c>
      <c r="L33" s="39" t="n">
        <v>44074</v>
      </c>
      <c r="M33" s="37" t="n"/>
      <c r="N33" s="37" t="n">
        <v>8</v>
      </c>
      <c r="O33" s="38">
        <f>IF(Table94[[#This Row],[Transaction]]="Closed",Table94[[#This Row],[Proceeds]]/Table94[[#This Row],[Shares Sold]],"")</f>
        <v/>
      </c>
      <c r="P33" s="38" t="n">
        <v>4183.33</v>
      </c>
    </row>
    <row r="34" ht="14" customHeight="1">
      <c r="B34" s="37" t="inlineStr">
        <is>
          <t>XX456</t>
        </is>
      </c>
      <c r="C34" s="37">
        <f t="array" ref="C34">_xlfn.XLOOKUP(Table94[[#This Row],[Account]],Table2[[#All],[Account]],Table2[[#All],[Account Type2]])</f>
        <v/>
      </c>
      <c r="D34" s="37">
        <f t="array" ref="D34">_xlfn.XLOOKUP(Table94[[#This Row],[Account]],Table2[[#All],[Account]],Table2[[#All],[Owner]])</f>
        <v/>
      </c>
      <c r="E34" s="37" t="inlineStr">
        <is>
          <t>Open</t>
        </is>
      </c>
      <c r="F34" s="37" t="inlineStr">
        <is>
          <t>NFLX</t>
        </is>
      </c>
      <c r="G34" s="31">
        <f t="array" ref="G34">_xlfn.XLOOKUP(Table94[[#This Row],[Symbol]],Table36[[#All],[Symbol]],Table36[[#All],[Security Description]])</f>
        <v/>
      </c>
      <c r="H34" s="8" t="n">
        <v>44021</v>
      </c>
      <c r="I34" s="9">
        <f>Table94[[#This Row],[Symbol]]&amp;" "&amp;Table94[[#This Row],[Date Acquired]]</f>
        <v/>
      </c>
      <c r="J34" s="37">
        <f>10</f>
        <v/>
      </c>
      <c r="K34" s="38">
        <f>10*50.473</f>
        <v/>
      </c>
      <c r="L34" s="39" t="n"/>
      <c r="M34" s="37" t="n"/>
      <c r="N34" s="37" t="n"/>
      <c r="O34" s="38">
        <f>IF(Table94[[#This Row],[Transaction]]="Closed",Table94[[#This Row],[Proceeds]]/Table94[[#This Row],[Shares Sold]],"")</f>
        <v/>
      </c>
      <c r="P34" s="38" t="n"/>
    </row>
    <row r="35" ht="14" customHeight="1">
      <c r="B35" s="37" t="inlineStr">
        <is>
          <t>XX456</t>
        </is>
      </c>
      <c r="C35" s="37">
        <f t="array" ref="C35">_xlfn.XLOOKUP(Table94[[#This Row],[Account]],Table2[[#All],[Account]],Table2[[#All],[Account Type2]])</f>
        <v/>
      </c>
      <c r="D35" s="37">
        <f t="array" ref="D35">_xlfn.XLOOKUP(Table94[[#This Row],[Account]],Table2[[#All],[Account]],Table2[[#All],[Owner]])</f>
        <v/>
      </c>
      <c r="E35" s="37" t="inlineStr">
        <is>
          <t>Open</t>
        </is>
      </c>
      <c r="F35" s="37" t="inlineStr">
        <is>
          <t>NFLX</t>
        </is>
      </c>
      <c r="G35" s="31">
        <f t="array" ref="G35">_xlfn.XLOOKUP(Table94[[#This Row],[Symbol]],Table36[[#All],[Symbol]],Table36[[#All],[Security Description]])</f>
        <v/>
      </c>
      <c r="H35" s="8" t="n">
        <v>44564</v>
      </c>
      <c r="I35" s="9">
        <f>Table94[[#This Row],[Symbol]]&amp;" "&amp;Table94[[#This Row],[Date Acquired]]</f>
        <v/>
      </c>
      <c r="J35" s="37">
        <f>2</f>
        <v/>
      </c>
      <c r="K35" s="38">
        <f>10*60.561</f>
        <v/>
      </c>
      <c r="L35" s="39" t="n"/>
      <c r="M35" s="37" t="n"/>
      <c r="N35" s="37" t="n"/>
      <c r="O35" s="38">
        <f>IF(Table94[[#This Row],[Transaction]]="Closed",Table94[[#This Row],[Proceeds]]/Table94[[#This Row],[Shares Sold]],"")</f>
        <v/>
      </c>
      <c r="P35" s="38" t="n"/>
    </row>
    <row r="36" ht="14" customHeight="1">
      <c r="B36" s="37" t="inlineStr">
        <is>
          <t>XX789</t>
        </is>
      </c>
      <c r="C36" s="37">
        <f t="array" ref="C36">_xlfn.XLOOKUP(Table94[[#This Row],[Account]],Table2[[#All],[Account]],Table2[[#All],[Account Type2]])</f>
        <v/>
      </c>
      <c r="D36" s="37">
        <f t="array" ref="D36">_xlfn.XLOOKUP(Table94[[#This Row],[Account]],Table2[[#All],[Account]],Table2[[#All],[Owner]])</f>
        <v/>
      </c>
      <c r="E36" s="37" t="inlineStr">
        <is>
          <t>Open</t>
        </is>
      </c>
      <c r="F36" s="37" t="inlineStr">
        <is>
          <t>VOO</t>
        </is>
      </c>
      <c r="G36" s="31">
        <f t="array" ref="G36">_xlfn.XLOOKUP(Table94[[#This Row],[Symbol]],Table36[[#All],[Symbol]],Table36[[#All],[Security Description]])</f>
        <v/>
      </c>
      <c r="H36" s="8" t="n">
        <v>45916</v>
      </c>
      <c r="I36" s="9">
        <f>Table94[[#This Row],[Symbol]]&amp;" "&amp;Table94[[#This Row],[Date Acquired]]</f>
        <v/>
      </c>
      <c r="J36" s="37" t="n">
        <v>0.164</v>
      </c>
      <c r="K36" s="38" t="n">
        <v>607.01</v>
      </c>
      <c r="L36" s="39" t="n"/>
      <c r="M36" s="37" t="n"/>
      <c r="N36" s="37" t="n"/>
      <c r="O36" s="38">
        <f>IF(Table94[[#This Row],[Transaction]]="Closed",Table94[[#This Row],[Proceeds]]/Table94[[#This Row],[Shares Sold]],"")</f>
        <v/>
      </c>
      <c r="P36" s="38" t="n"/>
    </row>
    <row r="37" ht="14" customHeight="1">
      <c r="B37" s="37" t="inlineStr">
        <is>
          <t>XX789</t>
        </is>
      </c>
      <c r="C37" s="37">
        <f t="array" ref="C37">_xlfn.XLOOKUP(Table94[[#This Row],[Account]],Table2[[#All],[Account]],Table2[[#All],[Account Type2]])</f>
        <v/>
      </c>
      <c r="D37" s="37">
        <f t="array" ref="D37">_xlfn.XLOOKUP(Table94[[#This Row],[Account]],Table2[[#All],[Account]],Table2[[#All],[Owner]])</f>
        <v/>
      </c>
      <c r="E37" s="37" t="inlineStr">
        <is>
          <t>Open</t>
        </is>
      </c>
      <c r="F37" s="37" t="inlineStr">
        <is>
          <t>VOO</t>
        </is>
      </c>
      <c r="G37" s="31">
        <f t="array" ref="G37">_xlfn.XLOOKUP(Table94[[#This Row],[Symbol]],Table36[[#All],[Symbol]],Table36[[#All],[Security Description]])</f>
        <v/>
      </c>
      <c r="H37" s="8" t="n">
        <v>45917</v>
      </c>
      <c r="I37" s="9">
        <f>Table94[[#This Row],[Symbol]]&amp;" "&amp;Table94[[#This Row],[Date Acquired]]</f>
        <v/>
      </c>
      <c r="J37" s="37" t="n">
        <v>0.659</v>
      </c>
      <c r="K37" s="38" t="n">
        <v>606.4</v>
      </c>
      <c r="L37" s="39" t="n"/>
      <c r="M37" s="37" t="n"/>
      <c r="N37" s="37" t="n"/>
      <c r="O37" s="38">
        <f>IF(Table94[[#This Row],[Transaction]]="Closed",Table94[[#This Row],[Proceeds]]/Table94[[#This Row],[Shares Sold]],"")</f>
        <v/>
      </c>
      <c r="P37" s="38" t="n"/>
    </row>
    <row r="38" ht="14" customHeight="1">
      <c r="B38" s="37" t="inlineStr">
        <is>
          <t>XX789</t>
        </is>
      </c>
      <c r="C38" s="37">
        <f t="array" ref="C38">_xlfn.XLOOKUP(Table94[[#This Row],[Account]],Table2[[#All],[Account]],Table2[[#All],[Account Type2]])</f>
        <v/>
      </c>
      <c r="D38" s="37">
        <f t="array" ref="D38">_xlfn.XLOOKUP(Table94[[#This Row],[Account]],Table2[[#All],[Account]],Table2[[#All],[Owner]])</f>
        <v/>
      </c>
      <c r="E38" s="37" t="inlineStr">
        <is>
          <t>Open</t>
        </is>
      </c>
      <c r="F38" s="37" t="inlineStr">
        <is>
          <t>VOO</t>
        </is>
      </c>
      <c r="G38" s="31">
        <f t="array" ref="G38">_xlfn.XLOOKUP(Table94[[#This Row],[Symbol]],Table36[[#All],[Symbol]],Table36[[#All],[Security Description]])</f>
        <v/>
      </c>
      <c r="H38" s="8" t="n">
        <v>45919</v>
      </c>
      <c r="I38" s="9">
        <f>Table94[[#This Row],[Symbol]]&amp;" "&amp;Table94[[#This Row],[Date Acquired]]</f>
        <v/>
      </c>
      <c r="J38" s="37" t="n">
        <v>0.04</v>
      </c>
      <c r="K38" s="38" t="n">
        <v>610.25</v>
      </c>
      <c r="L38" s="39" t="n"/>
      <c r="M38" s="37" t="n"/>
      <c r="N38" s="37" t="n"/>
      <c r="O38" s="38">
        <f>IF(Table94[[#This Row],[Transaction]]="Closed",Table94[[#This Row],[Proceeds]]/Table94[[#This Row],[Shares Sold]],"")</f>
        <v/>
      </c>
      <c r="P38" s="38" t="n"/>
    </row>
    <row r="39" ht="14" customHeight="1">
      <c r="B39" s="37" t="inlineStr">
        <is>
          <t>XX789</t>
        </is>
      </c>
      <c r="C39" s="37">
        <f t="array" ref="C39">_xlfn.XLOOKUP(Table94[[#This Row],[Account]],Table2[[#All],[Account]],Table2[[#All],[Account Type2]])</f>
        <v/>
      </c>
      <c r="D39" s="37">
        <f t="array" ref="D39">_xlfn.XLOOKUP(Table94[[#This Row],[Account]],Table2[[#All],[Account]],Table2[[#All],[Owner]])</f>
        <v/>
      </c>
      <c r="E39" s="37" t="inlineStr">
        <is>
          <t>Open</t>
        </is>
      </c>
      <c r="F39" s="37" t="inlineStr">
        <is>
          <t>VOO</t>
        </is>
      </c>
      <c r="G39" s="31">
        <f t="array" ref="G39">_xlfn.XLOOKUP(Table94[[#This Row],[Symbol]],Table36[[#All],[Symbol]],Table36[[#All],[Security Description]])</f>
        <v/>
      </c>
      <c r="H39" s="8" t="n">
        <v>45923</v>
      </c>
      <c r="I39" s="9">
        <f>Table94[[#This Row],[Symbol]]&amp;" "&amp;Table94[[#This Row],[Date Acquired]]</f>
        <v/>
      </c>
      <c r="J39" s="37" t="n">
        <v>0.162</v>
      </c>
      <c r="K39" s="38" t="n">
        <v>614.9299999999999</v>
      </c>
      <c r="L39" s="39" t="n"/>
      <c r="M39" s="37" t="n"/>
      <c r="N39" s="37" t="n"/>
      <c r="O39" s="38">
        <f>IF(Table94[[#This Row],[Transaction]]="Closed",Table94[[#This Row],[Proceeds]]/Table94[[#This Row],[Shares Sold]],"")</f>
        <v/>
      </c>
      <c r="P39" s="38" t="n"/>
    </row>
    <row r="40" ht="14" customHeight="1">
      <c r="B40" s="37" t="inlineStr">
        <is>
          <t>XX789</t>
        </is>
      </c>
      <c r="C40" s="37">
        <f t="array" ref="C40">_xlfn.XLOOKUP(Table94[[#This Row],[Account]],Table2[[#All],[Account]],Table2[[#All],[Account Type2]])</f>
        <v/>
      </c>
      <c r="D40" s="37">
        <f t="array" ref="D40">_xlfn.XLOOKUP(Table94[[#This Row],[Account]],Table2[[#All],[Account]],Table2[[#All],[Owner]])</f>
        <v/>
      </c>
      <c r="E40" s="37" t="inlineStr">
        <is>
          <t>Open</t>
        </is>
      </c>
      <c r="F40" s="37" t="inlineStr">
        <is>
          <t>VOO</t>
        </is>
      </c>
      <c r="G40" s="31">
        <f t="array" ref="G40">_xlfn.XLOOKUP(Table94[[#This Row],[Symbol]],Table36[[#All],[Symbol]],Table36[[#All],[Security Description]])</f>
        <v/>
      </c>
      <c r="H40" s="8" t="n">
        <v>45924</v>
      </c>
      <c r="I40" s="9">
        <f>Table94[[#This Row],[Symbol]]&amp;" "&amp;Table94[[#This Row],[Date Acquired]]</f>
        <v/>
      </c>
      <c r="J40" s="37" t="n">
        <v>0.654</v>
      </c>
      <c r="K40" s="38" t="n">
        <v>611.3099999999999</v>
      </c>
      <c r="L40" s="39" t="n"/>
      <c r="M40" s="37" t="n"/>
      <c r="N40" s="37" t="n"/>
      <c r="O40" s="38">
        <f>IF(Table94[[#This Row],[Transaction]]="Closed",Table94[[#This Row],[Proceeds]]/Table94[[#This Row],[Shares Sold]],"")</f>
        <v/>
      </c>
      <c r="P40" s="38" t="n"/>
    </row>
    <row r="41" ht="14" customHeight="1">
      <c r="B41" s="37" t="inlineStr">
        <is>
          <t>XX789</t>
        </is>
      </c>
      <c r="C41" s="37">
        <f t="array" ref="C41">_xlfn.XLOOKUP(Table94[[#This Row],[Account]],Table2[[#All],[Account]],Table2[[#All],[Account Type2]])</f>
        <v/>
      </c>
      <c r="D41" s="37">
        <f t="array" ref="D41">_xlfn.XLOOKUP(Table94[[#This Row],[Account]],Table2[[#All],[Account]],Table2[[#All],[Owner]])</f>
        <v/>
      </c>
      <c r="E41" s="37" t="inlineStr">
        <is>
          <t>Open</t>
        </is>
      </c>
      <c r="F41" s="37" t="inlineStr">
        <is>
          <t>VOO</t>
        </is>
      </c>
      <c r="G41" s="31">
        <f t="array" ref="G41">_xlfn.XLOOKUP(Table94[[#This Row],[Symbol]],Table36[[#All],[Symbol]],Table36[[#All],[Security Description]])</f>
        <v/>
      </c>
      <c r="H41" s="8" t="n">
        <v>45926</v>
      </c>
      <c r="I41" s="9">
        <f>Table94[[#This Row],[Symbol]]&amp;" "&amp;Table94[[#This Row],[Date Acquired]]</f>
        <v/>
      </c>
      <c r="J41" s="37" t="n">
        <v>0.04</v>
      </c>
      <c r="K41" s="38" t="n">
        <v>610.25</v>
      </c>
      <c r="L41" s="39" t="n"/>
      <c r="M41" s="37" t="n"/>
      <c r="N41" s="37" t="n"/>
      <c r="O41" s="38">
        <f>IF(Table94[[#This Row],[Transaction]]="Closed",Table94[[#This Row],[Proceeds]]/Table94[[#This Row],[Shares Sold]],"")</f>
        <v/>
      </c>
      <c r="P41" s="38" t="n"/>
    </row>
    <row r="42" ht="14" customHeight="1">
      <c r="B42" s="37" t="inlineStr">
        <is>
          <t>XX789</t>
        </is>
      </c>
      <c r="C42" s="37">
        <f t="array" ref="C42">_xlfn.XLOOKUP(Table94[[#This Row],[Account]],Table2[[#All],[Account]],Table2[[#All],[Account Type2]])</f>
        <v/>
      </c>
      <c r="D42" s="37">
        <f t="array" ref="D42">_xlfn.XLOOKUP(Table94[[#This Row],[Account]],Table2[[#All],[Account]],Table2[[#All],[Owner]])</f>
        <v/>
      </c>
      <c r="E42" s="37" t="inlineStr">
        <is>
          <t>Open</t>
        </is>
      </c>
      <c r="F42" s="37" t="inlineStr">
        <is>
          <t>VOO</t>
        </is>
      </c>
      <c r="G42" s="31">
        <f t="array" ref="G42">_xlfn.XLOOKUP(Table94[[#This Row],[Symbol]],Table36[[#All],[Symbol]],Table36[[#All],[Security Description]])</f>
        <v/>
      </c>
      <c r="H42" s="8" t="n">
        <v>45930</v>
      </c>
      <c r="I42" s="9">
        <f>Table94[[#This Row],[Symbol]]&amp;" "&amp;Table94[[#This Row],[Date Acquired]]</f>
        <v/>
      </c>
      <c r="J42" s="37" t="n">
        <v>0.45</v>
      </c>
      <c r="K42" s="38" t="n">
        <v>221.93</v>
      </c>
      <c r="L42" s="39" t="n"/>
      <c r="M42" s="37" t="n"/>
      <c r="N42" s="37" t="n"/>
      <c r="O42" s="38">
        <f>IF(Table94[[#This Row],[Transaction]]="Closed",Table94[[#This Row],[Proceeds]]/Table94[[#This Row],[Shares Sold]],"")</f>
        <v/>
      </c>
      <c r="P42" s="38" t="n"/>
    </row>
    <row r="43" ht="14" customHeight="1">
      <c r="B43" s="37" t="inlineStr">
        <is>
          <t>XX789</t>
        </is>
      </c>
      <c r="C43" s="37">
        <f t="array" ref="C43">_xlfn.XLOOKUP(Table94[[#This Row],[Account]],Table2[[#All],[Account]],Table2[[#All],[Account Type2]])</f>
        <v/>
      </c>
      <c r="D43" s="37">
        <f t="array" ref="D43">_xlfn.XLOOKUP(Table94[[#This Row],[Account]],Table2[[#All],[Account]],Table2[[#All],[Owner]])</f>
        <v/>
      </c>
      <c r="E43" s="37" t="inlineStr">
        <is>
          <t>Open</t>
        </is>
      </c>
      <c r="F43" s="37" t="inlineStr">
        <is>
          <t>VOO</t>
        </is>
      </c>
      <c r="G43" s="31">
        <f t="array" ref="G43">_xlfn.XLOOKUP(Table94[[#This Row],[Symbol]],Table36[[#All],[Symbol]],Table36[[#All],[Security Description]])</f>
        <v/>
      </c>
      <c r="H43" s="8" t="n">
        <v>45931</v>
      </c>
      <c r="I43" s="9">
        <f>Table94[[#This Row],[Symbol]]&amp;" "&amp;Table94[[#This Row],[Date Acquired]]</f>
        <v/>
      </c>
      <c r="J43" s="37">
        <f>0.582+0.071</f>
        <v/>
      </c>
      <c r="K43" s="38" t="n">
        <v>611.9</v>
      </c>
      <c r="L43" s="39" t="n"/>
      <c r="M43" s="37" t="n"/>
      <c r="N43" s="37" t="n"/>
      <c r="O43" s="38">
        <f>IF(Table94[[#This Row],[Transaction]]="Closed",Table94[[#This Row],[Proceeds]]/Table94[[#This Row],[Shares Sold]],"")</f>
        <v/>
      </c>
      <c r="P43" s="38" t="n"/>
    </row>
    <row r="44" ht="14" customHeight="1">
      <c r="B44" s="37" t="inlineStr">
        <is>
          <t>XX789</t>
        </is>
      </c>
      <c r="C44" s="37">
        <f t="array" ref="C44">_xlfn.XLOOKUP(Table94[[#This Row],[Account]],Table2[[#All],[Account]],Table2[[#All],[Account Type2]])</f>
        <v/>
      </c>
      <c r="D44" s="37">
        <f t="array" ref="D44">_xlfn.XLOOKUP(Table94[[#This Row],[Account]],Table2[[#All],[Account]],Table2[[#All],[Owner]])</f>
        <v/>
      </c>
      <c r="E44" s="37" t="inlineStr">
        <is>
          <t>Open</t>
        </is>
      </c>
      <c r="F44" s="37" t="inlineStr">
        <is>
          <t>VOO</t>
        </is>
      </c>
      <c r="G44" s="31">
        <f t="array" ref="G44">_xlfn.XLOOKUP(Table94[[#This Row],[Symbol]],Table36[[#All],[Symbol]],Table36[[#All],[Security Description]])</f>
        <v/>
      </c>
      <c r="H44" s="8" t="n">
        <v>45933</v>
      </c>
      <c r="I44" s="9">
        <f>Table94[[#This Row],[Symbol]]&amp;" "&amp;Table94[[#This Row],[Date Acquired]]</f>
        <v/>
      </c>
      <c r="J44" s="37" t="n">
        <v>0.04</v>
      </c>
      <c r="K44" s="38" t="n">
        <v>616.5</v>
      </c>
      <c r="L44" s="39" t="n"/>
      <c r="M44" s="37" t="n"/>
      <c r="N44" s="37" t="n"/>
      <c r="O44" s="38">
        <f>IF(Table94[[#This Row],[Transaction]]="Closed",Table94[[#This Row],[Proceeds]]/Table94[[#This Row],[Shares Sold]],"")</f>
        <v/>
      </c>
      <c r="P44" s="38" t="n"/>
    </row>
    <row r="45" ht="14" customHeight="1">
      <c r="B45" s="37" t="inlineStr">
        <is>
          <t>XX789</t>
        </is>
      </c>
      <c r="C45" s="37">
        <f t="array" ref="C45">_xlfn.XLOOKUP(Table94[[#This Row],[Account]],Table2[[#All],[Account]],Table2[[#All],[Account Type2]])</f>
        <v/>
      </c>
      <c r="D45" s="37">
        <f t="array" ref="D45">_xlfn.XLOOKUP(Table94[[#This Row],[Account]],Table2[[#All],[Account]],Table2[[#All],[Owner]])</f>
        <v/>
      </c>
      <c r="E45" s="37" t="inlineStr">
        <is>
          <t>Open</t>
        </is>
      </c>
      <c r="F45" s="37" t="inlineStr">
        <is>
          <t>VOO</t>
        </is>
      </c>
      <c r="G45" s="31">
        <f t="array" ref="G45">_xlfn.XLOOKUP(Table94[[#This Row],[Symbol]],Table36[[#All],[Symbol]],Table36[[#All],[Security Description]])</f>
        <v/>
      </c>
      <c r="H45" s="8" t="n">
        <v>45937</v>
      </c>
      <c r="I45" s="9">
        <f>Table94[[#This Row],[Symbol]]&amp;" "&amp;Table94[[#This Row],[Date Acquired]]</f>
        <v/>
      </c>
      <c r="J45" s="37" t="n">
        <v>0.161</v>
      </c>
      <c r="K45" s="38" t="n">
        <v>617.826</v>
      </c>
      <c r="L45" s="39" t="n"/>
      <c r="M45" s="37" t="n"/>
      <c r="N45" s="37" t="n"/>
      <c r="O45" s="38">
        <f>IF(Table94[[#This Row],[Transaction]]="Closed",Table94[[#This Row],[Proceeds]]/Table94[[#This Row],[Shares Sold]],"")</f>
        <v/>
      </c>
      <c r="P45" s="38" t="n"/>
    </row>
    <row r="46" ht="14" customHeight="1">
      <c r="B46" s="37" t="inlineStr">
        <is>
          <t>XX789</t>
        </is>
      </c>
      <c r="C46" s="37">
        <f t="array" ref="C46">_xlfn.XLOOKUP(Table94[[#This Row],[Account]],Table2[[#All],[Account]],Table2[[#All],[Account Type2]])</f>
        <v/>
      </c>
      <c r="D46" s="37">
        <f t="array" ref="D46">_xlfn.XLOOKUP(Table94[[#This Row],[Account]],Table2[[#All],[Account]],Table2[[#All],[Owner]])</f>
        <v/>
      </c>
      <c r="E46" s="37" t="inlineStr">
        <is>
          <t>Open</t>
        </is>
      </c>
      <c r="F46" s="37" t="inlineStr">
        <is>
          <t>VOO</t>
        </is>
      </c>
      <c r="G46" s="31">
        <f t="array" ref="G46">_xlfn.XLOOKUP(Table94[[#This Row],[Symbol]],Table36[[#All],[Symbol]],Table36[[#All],[Security Description]])</f>
        <v/>
      </c>
      <c r="H46" s="8" t="n">
        <v>45938</v>
      </c>
      <c r="I46" s="9">
        <f>Table94[[#This Row],[Symbol]]&amp;" "&amp;Table94[[#This Row],[Date Acquired]]</f>
        <v/>
      </c>
      <c r="J46" s="37">
        <f>0.132+0.515</f>
        <v/>
      </c>
      <c r="K46" s="38" t="n">
        <v>617.4</v>
      </c>
      <c r="L46" s="39" t="n"/>
      <c r="M46" s="37" t="n"/>
      <c r="N46" s="37" t="n"/>
      <c r="O46" s="38">
        <f>IF(Table94[[#This Row],[Transaction]]="Closed",Table94[[#This Row],[Proceeds]]/Table94[[#This Row],[Shares Sold]],"")</f>
        <v/>
      </c>
      <c r="P46" s="38" t="n"/>
    </row>
    <row r="47" ht="14" customHeight="1">
      <c r="B47" s="37" t="inlineStr">
        <is>
          <t>XX789</t>
        </is>
      </c>
      <c r="C47" s="37">
        <f t="array" ref="C47">_xlfn.XLOOKUP(Table94[[#This Row],[Account]],Table2[[#All],[Account]],Table2[[#All],[Account Type2]])</f>
        <v/>
      </c>
      <c r="D47" s="37">
        <f t="array" ref="D47">_xlfn.XLOOKUP(Table94[[#This Row],[Account]],Table2[[#All],[Account]],Table2[[#All],[Owner]])</f>
        <v/>
      </c>
      <c r="E47" s="37" t="inlineStr">
        <is>
          <t>Open</t>
        </is>
      </c>
      <c r="F47" s="37" t="inlineStr">
        <is>
          <t>VOO</t>
        </is>
      </c>
      <c r="G47" s="31">
        <f t="array" ref="G47">_xlfn.XLOOKUP(Table94[[#This Row],[Symbol]],Table36[[#All],[Symbol]],Table36[[#All],[Security Description]])</f>
        <v/>
      </c>
      <c r="H47" s="8" t="n">
        <v>45940</v>
      </c>
      <c r="I47" s="9">
        <f>Table94[[#This Row],[Symbol]]&amp;" "&amp;Table94[[#This Row],[Date Acquired]]</f>
        <v/>
      </c>
      <c r="J47" s="37" t="n">
        <v>0.04</v>
      </c>
      <c r="K47" s="38" t="n">
        <v>618.25</v>
      </c>
      <c r="L47" s="39" t="n"/>
      <c r="M47" s="37" t="n"/>
      <c r="N47" s="37" t="n"/>
      <c r="O47" s="38">
        <f>IF(Table94[[#This Row],[Transaction]]="Closed",Table94[[#This Row],[Proceeds]]/Table94[[#This Row],[Shares Sold]],"")</f>
        <v/>
      </c>
      <c r="P47" s="38" t="n"/>
    </row>
    <row r="48" ht="14" customHeight="1">
      <c r="B48" s="37" t="inlineStr">
        <is>
          <t>XX789</t>
        </is>
      </c>
      <c r="C48" s="37">
        <f t="array" ref="C48">_xlfn.XLOOKUP(Table94[[#This Row],[Account]],Table2[[#All],[Account]],Table2[[#All],[Account Type2]])</f>
        <v/>
      </c>
      <c r="D48" s="37">
        <f t="array" ref="D48">_xlfn.XLOOKUP(Table94[[#This Row],[Account]],Table2[[#All],[Account]],Table2[[#All],[Owner]])</f>
        <v/>
      </c>
      <c r="E48" s="37" t="inlineStr">
        <is>
          <t>Open</t>
        </is>
      </c>
      <c r="F48" s="37" t="inlineStr">
        <is>
          <t>VOO</t>
        </is>
      </c>
      <c r="G48" s="31">
        <f t="array" ref="G48">_xlfn.XLOOKUP(Table94[[#This Row],[Symbol]],Table36[[#All],[Symbol]],Table36[[#All],[Security Description]])</f>
        <v/>
      </c>
      <c r="H48" s="8" t="n">
        <v>45944</v>
      </c>
      <c r="I48" s="9">
        <f>Table94[[#This Row],[Symbol]]&amp;" "&amp;Table94[[#This Row],[Date Acquired]]</f>
        <v/>
      </c>
      <c r="J48" s="37" t="n">
        <v>0.165</v>
      </c>
      <c r="K48" s="38" t="n">
        <v>605.9393</v>
      </c>
      <c r="L48" s="39" t="n"/>
      <c r="M48" s="37" t="n"/>
      <c r="N48" s="37" t="n"/>
      <c r="O48" s="38">
        <f>IF(Table94[[#This Row],[Transaction]]="Closed",Table94[[#This Row],[Proceeds]]/Table94[[#This Row],[Shares Sold]],"")</f>
        <v/>
      </c>
      <c r="P48" s="38" t="n"/>
    </row>
    <row r="49" ht="14" customHeight="1">
      <c r="B49" s="37" t="inlineStr">
        <is>
          <t>XX789</t>
        </is>
      </c>
      <c r="C49" s="37">
        <f t="array" ref="C49">_xlfn.XLOOKUP(Table94[[#This Row],[Account]],Table2[[#All],[Account]],Table2[[#All],[Account Type2]])</f>
        <v/>
      </c>
      <c r="D49" s="37">
        <f t="array" ref="D49">_xlfn.XLOOKUP(Table94[[#This Row],[Account]],Table2[[#All],[Account]],Table2[[#All],[Owner]])</f>
        <v/>
      </c>
      <c r="E49" s="37" t="inlineStr">
        <is>
          <t>Open</t>
        </is>
      </c>
      <c r="F49" s="37" t="inlineStr">
        <is>
          <t>VOO</t>
        </is>
      </c>
      <c r="G49" s="31">
        <f t="array" ref="G49">_xlfn.XLOOKUP(Table94[[#This Row],[Symbol]],Table36[[#All],[Symbol]],Table36[[#All],[Security Description]])</f>
        <v/>
      </c>
      <c r="H49" s="8" t="n">
        <v>45945</v>
      </c>
      <c r="I49" s="9">
        <f>Table94[[#This Row],[Symbol]]&amp;" "&amp;Table94[[#This Row],[Date Acquired]]</f>
        <v/>
      </c>
      <c r="J49" s="37" t="n">
        <v>0.649</v>
      </c>
      <c r="K49" s="38" t="n">
        <v>615.74</v>
      </c>
      <c r="L49" s="39" t="n"/>
      <c r="M49" s="37" t="n"/>
      <c r="N49" s="37" t="n"/>
      <c r="O49" s="38">
        <f>IF(Table94[[#This Row],[Transaction]]="Closed",Table94[[#This Row],[Proceeds]]/Table94[[#This Row],[Shares Sold]],"")</f>
        <v/>
      </c>
      <c r="P49" s="38" t="n"/>
    </row>
    <row r="50" ht="14" customHeight="1">
      <c r="B50" s="37" t="inlineStr">
        <is>
          <t>XX789</t>
        </is>
      </c>
      <c r="C50" s="37">
        <f t="array" ref="C50">_xlfn.XLOOKUP(Table94[[#This Row],[Account]],Table2[[#All],[Account]],Table2[[#All],[Account Type2]])</f>
        <v/>
      </c>
      <c r="D50" s="37">
        <f t="array" ref="D50">_xlfn.XLOOKUP(Table94[[#This Row],[Account]],Table2[[#All],[Account]],Table2[[#All],[Owner]])</f>
        <v/>
      </c>
      <c r="E50" s="37" t="inlineStr">
        <is>
          <t>Open</t>
        </is>
      </c>
      <c r="F50" s="37" t="inlineStr">
        <is>
          <t>VOO</t>
        </is>
      </c>
      <c r="G50" s="31">
        <f t="array" ref="G50">_xlfn.XLOOKUP(Table94[[#This Row],[Symbol]],Table36[[#All],[Symbol]],Table36[[#All],[Security Description]])</f>
        <v/>
      </c>
      <c r="H50" s="8" t="n">
        <v>45947</v>
      </c>
      <c r="I50" s="9">
        <f>Table94[[#This Row],[Symbol]]&amp;" "&amp;Table94[[#This Row],[Date Acquired]]</f>
        <v/>
      </c>
      <c r="J50" s="37" t="n">
        <v>0.041</v>
      </c>
      <c r="K50" s="38" t="n">
        <v>608.5365</v>
      </c>
      <c r="L50" s="39" t="n"/>
      <c r="M50" s="37" t="n"/>
      <c r="N50" s="37" t="n"/>
      <c r="O50" s="38">
        <f>IF(Table94[[#This Row],[Transaction]]="Closed",Table94[[#This Row],[Proceeds]]/Table94[[#This Row],[Shares Sold]],"")</f>
        <v/>
      </c>
      <c r="P50" s="38" t="n"/>
    </row>
    <row r="51" ht="14" customHeight="1">
      <c r="B51" s="37" t="inlineStr">
        <is>
          <t>XX789</t>
        </is>
      </c>
      <c r="C51" s="37">
        <f t="array" ref="C51">_xlfn.XLOOKUP(Table94[[#This Row],[Account]],Table2[[#All],[Account]],Table2[[#All],[Account Type2]])</f>
        <v/>
      </c>
      <c r="D51" s="37">
        <f t="array" ref="D51">_xlfn.XLOOKUP(Table94[[#This Row],[Account]],Table2[[#All],[Account]],Table2[[#All],[Owner]])</f>
        <v/>
      </c>
      <c r="E51" s="37" t="inlineStr">
        <is>
          <t>Open</t>
        </is>
      </c>
      <c r="F51" s="37" t="inlineStr">
        <is>
          <t>VOO</t>
        </is>
      </c>
      <c r="G51" s="31">
        <f t="array" ref="G51">_xlfn.XLOOKUP(Table94[[#This Row],[Symbol]],Table36[[#All],[Symbol]],Table36[[#All],[Security Description]])</f>
        <v/>
      </c>
      <c r="H51" s="8" t="n">
        <v>45951</v>
      </c>
      <c r="I51" s="9">
        <f>Table94[[#This Row],[Symbol]]&amp;" "&amp;Table94[[#This Row],[Date Acquired]]</f>
        <v/>
      </c>
      <c r="J51" s="37" t="n">
        <v>0.162</v>
      </c>
      <c r="K51" s="38" t="n">
        <v>616.3579999999999</v>
      </c>
      <c r="L51" s="39" t="n"/>
      <c r="M51" s="37" t="n"/>
      <c r="N51" s="37" t="n"/>
      <c r="O51" s="38">
        <f>IF(Table94[[#This Row],[Transaction]]="Closed",Table94[[#This Row],[Proceeds]]/Table94[[#This Row],[Shares Sold]],"")</f>
        <v/>
      </c>
      <c r="P51" s="38" t="n"/>
    </row>
    <row r="52" ht="14" customHeight="1">
      <c r="B52" s="37" t="inlineStr">
        <is>
          <t>XX789</t>
        </is>
      </c>
      <c r="C52" s="37">
        <f t="array" ref="C52">_xlfn.XLOOKUP(Table94[[#This Row],[Account]],Table2[[#All],[Account]],Table2[[#All],[Account Type2]])</f>
        <v/>
      </c>
      <c r="D52" s="37">
        <f t="array" ref="D52">_xlfn.XLOOKUP(Table94[[#This Row],[Account]],Table2[[#All],[Account]],Table2[[#All],[Owner]])</f>
        <v/>
      </c>
      <c r="E52" s="37" t="inlineStr">
        <is>
          <t>Open</t>
        </is>
      </c>
      <c r="F52" s="37" t="inlineStr">
        <is>
          <t>VOO</t>
        </is>
      </c>
      <c r="G52" s="31">
        <f t="array" ref="G52">_xlfn.XLOOKUP(Table94[[#This Row],[Symbol]],Table36[[#All],[Symbol]],Table36[[#All],[Security Description]])</f>
        <v/>
      </c>
      <c r="H52" s="8" t="n">
        <v>45952</v>
      </c>
      <c r="I52" s="9">
        <f>Table94[[#This Row],[Symbol]]&amp;" "&amp;Table94[[#This Row],[Date Acquired]]</f>
        <v/>
      </c>
      <c r="J52" s="37" t="n">
        <v>0.647</v>
      </c>
      <c r="K52" s="38" t="n">
        <v>617.326</v>
      </c>
      <c r="L52" s="39" t="n"/>
      <c r="M52" s="37" t="n"/>
      <c r="N52" s="37" t="n"/>
      <c r="O52" s="38">
        <f>IF(Table94[[#This Row],[Transaction]]="Closed",Table94[[#This Row],[Proceeds]]/Table94[[#This Row],[Shares Sold]],"")</f>
        <v/>
      </c>
      <c r="P52" s="38" t="n"/>
    </row>
    <row r="53" ht="14" customHeight="1">
      <c r="B53" s="37" t="inlineStr">
        <is>
          <t>XX789</t>
        </is>
      </c>
      <c r="C53" s="37">
        <f t="array" ref="C53">_xlfn.XLOOKUP(Table94[[#This Row],[Account]],Table2[[#All],[Account]],Table2[[#All],[Account Type2]])</f>
        <v/>
      </c>
      <c r="D53" s="37">
        <f t="array" ref="D53">_xlfn.XLOOKUP(Table94[[#This Row],[Account]],Table2[[#All],[Account]],Table2[[#All],[Owner]])</f>
        <v/>
      </c>
      <c r="E53" s="37" t="inlineStr">
        <is>
          <t>Open</t>
        </is>
      </c>
      <c r="F53" s="37" t="inlineStr">
        <is>
          <t>VOO</t>
        </is>
      </c>
      <c r="G53" s="31">
        <f t="array" ref="G53">_xlfn.XLOOKUP(Table94[[#This Row],[Symbol]],Table36[[#All],[Symbol]],Table36[[#All],[Security Description]])</f>
        <v/>
      </c>
      <c r="H53" s="8" t="n">
        <v>45954</v>
      </c>
      <c r="I53" s="9">
        <f>Table94[[#This Row],[Symbol]]&amp;" "&amp;Table94[[#This Row],[Date Acquired]]</f>
        <v/>
      </c>
      <c r="J53" s="37" t="n">
        <v>0.04</v>
      </c>
      <c r="K53" s="38" t="n">
        <v>622.23</v>
      </c>
      <c r="L53" s="39" t="n"/>
      <c r="M53" s="37" t="n"/>
      <c r="N53" s="37" t="n"/>
      <c r="O53" s="38">
        <f>IF(Table94[[#This Row],[Transaction]]="Closed",Table94[[#This Row],[Proceeds]]/Table94[[#This Row],[Shares Sold]],"")</f>
        <v/>
      </c>
      <c r="P53" s="38" t="n"/>
    </row>
    <row r="54" ht="14" customHeight="1">
      <c r="B54" s="37" t="inlineStr">
        <is>
          <t>XX789</t>
        </is>
      </c>
      <c r="C54" s="37">
        <f t="array" ref="C54">_xlfn.XLOOKUP(Table94[[#This Row],[Account]],Table2[[#All],[Account]],Table2[[#All],[Account Type2]])</f>
        <v/>
      </c>
      <c r="D54" s="37">
        <f t="array" ref="D54">_xlfn.XLOOKUP(Table94[[#This Row],[Account]],Table2[[#All],[Account]],Table2[[#All],[Owner]])</f>
        <v/>
      </c>
      <c r="E54" s="37" t="inlineStr">
        <is>
          <t>Open</t>
        </is>
      </c>
      <c r="F54" s="37" t="inlineStr">
        <is>
          <t>VOO</t>
        </is>
      </c>
      <c r="G54" s="31">
        <f t="array" ref="G54">_xlfn.XLOOKUP(Table94[[#This Row],[Symbol]],Table36[[#All],[Symbol]],Table36[[#All],[Security Description]])</f>
        <v/>
      </c>
      <c r="H54" s="8" t="n">
        <v>45954</v>
      </c>
      <c r="I54" s="9">
        <f>Table94[[#This Row],[Symbol]]&amp;" "&amp;Table94[[#This Row],[Date Acquired]]</f>
        <v/>
      </c>
      <c r="J54" s="37" t="n">
        <v>0.039</v>
      </c>
      <c r="K54" s="38" t="n">
        <v>627.88</v>
      </c>
      <c r="L54" s="39" t="n"/>
      <c r="M54" s="37" t="n"/>
      <c r="N54" s="37" t="n"/>
      <c r="O54" s="38">
        <f>IF(Table94[[#This Row],[Transaction]]="Closed",Table94[[#This Row],[Proceeds]]/Table94[[#This Row],[Shares Sold]],"")</f>
        <v/>
      </c>
      <c r="P54" s="38" t="n"/>
    </row>
    <row r="55" ht="14" customHeight="1">
      <c r="B55" s="37" t="inlineStr">
        <is>
          <t>XX789</t>
        </is>
      </c>
      <c r="C55" s="37">
        <f t="array" ref="C55">_xlfn.XLOOKUP(Table94[[#This Row],[Account]],Table2[[#All],[Account]],Table2[[#All],[Account Type2]])</f>
        <v/>
      </c>
      <c r="D55" s="37">
        <f t="array" ref="D55">_xlfn.XLOOKUP(Table94[[#This Row],[Account]],Table2[[#All],[Account]],Table2[[#All],[Owner]])</f>
        <v/>
      </c>
      <c r="E55" s="37" t="inlineStr">
        <is>
          <t>Open</t>
        </is>
      </c>
      <c r="F55" s="37" t="inlineStr">
        <is>
          <t>VOO</t>
        </is>
      </c>
      <c r="G55" s="31">
        <f t="array" ref="G55">_xlfn.XLOOKUP(Table94[[#This Row],[Symbol]],Table36[[#All],[Symbol]],Table36[[#All],[Security Description]])</f>
        <v/>
      </c>
      <c r="H55" s="8" t="n">
        <v>45958</v>
      </c>
      <c r="I55" s="9">
        <f>Table94[[#This Row],[Symbol]]&amp;" "&amp;Table94[[#This Row],[Date Acquired]]</f>
        <v/>
      </c>
      <c r="J55" s="37">
        <f>0.042+0.382</f>
        <v/>
      </c>
      <c r="K55" s="38" t="n">
        <v>235.7068</v>
      </c>
      <c r="L55" s="39" t="n"/>
      <c r="M55" s="37" t="n"/>
      <c r="N55" s="37" t="n"/>
      <c r="O55" s="38">
        <f>IF(Table94[[#This Row],[Transaction]]="Closed",Table94[[#This Row],[Proceeds]]/Table94[[#This Row],[Shares Sold]],"")</f>
        <v/>
      </c>
      <c r="P55" s="38" t="n"/>
    </row>
    <row r="56" ht="14" customHeight="1">
      <c r="B56" s="37" t="inlineStr">
        <is>
          <t>XX789</t>
        </is>
      </c>
      <c r="C56" s="37">
        <f t="array" ref="C56">_xlfn.XLOOKUP(Table94[[#This Row],[Account]],Table2[[#All],[Account]],Table2[[#All],[Account Type2]])</f>
        <v/>
      </c>
      <c r="D56" s="37">
        <f t="array" ref="D56">_xlfn.XLOOKUP(Table94[[#This Row],[Account]],Table2[[#All],[Account]],Table2[[#All],[Owner]])</f>
        <v/>
      </c>
      <c r="E56" s="37" t="inlineStr">
        <is>
          <t>Open</t>
        </is>
      </c>
      <c r="F56" s="37" t="inlineStr">
        <is>
          <t>VOO</t>
        </is>
      </c>
      <c r="G56" s="31">
        <f t="array" ref="G56">_xlfn.XLOOKUP(Table94[[#This Row],[Symbol]],Table36[[#All],[Symbol]],Table36[[#All],[Security Description]])</f>
        <v/>
      </c>
      <c r="H56" s="8" t="n">
        <v>45959</v>
      </c>
      <c r="I56" s="9">
        <f>Table94[[#This Row],[Symbol]]&amp;" "&amp;Table94[[#This Row],[Date Acquired]]</f>
        <v/>
      </c>
      <c r="J56" s="37" t="n">
        <v>0.631</v>
      </c>
      <c r="K56" s="38" t="n">
        <v>633.22</v>
      </c>
      <c r="L56" s="39" t="n"/>
      <c r="M56" s="37" t="n"/>
      <c r="N56" s="37" t="n"/>
      <c r="O56" s="38">
        <f>IF(Table94[[#This Row],[Transaction]]="Closed",Table94[[#This Row],[Proceeds]]/Table94[[#This Row],[Shares Sold]],"")</f>
        <v/>
      </c>
      <c r="P56" s="38" t="n"/>
    </row>
    <row r="57" ht="14" customHeight="1">
      <c r="B57" s="37" t="inlineStr">
        <is>
          <t>XX789</t>
        </is>
      </c>
      <c r="C57" s="37">
        <f t="array" ref="C57">_xlfn.XLOOKUP(Table94[[#This Row],[Account]],Table2[[#All],[Account]],Table2[[#All],[Account Type2]])</f>
        <v/>
      </c>
      <c r="D57" s="37">
        <f t="array" ref="D57">_xlfn.XLOOKUP(Table94[[#This Row],[Account]],Table2[[#All],[Account]],Table2[[#All],[Owner]])</f>
        <v/>
      </c>
      <c r="E57" s="37" t="inlineStr">
        <is>
          <t>Open</t>
        </is>
      </c>
      <c r="F57" s="37" t="inlineStr">
        <is>
          <t>VOO</t>
        </is>
      </c>
      <c r="G57" s="31">
        <f t="array" ref="G57">_xlfn.XLOOKUP(Table94[[#This Row],[Symbol]],Table36[[#All],[Symbol]],Table36[[#All],[Security Description]])</f>
        <v/>
      </c>
      <c r="H57" s="8" t="n">
        <v>45961</v>
      </c>
      <c r="I57" s="9">
        <f>Table94[[#This Row],[Symbol]]&amp;" "&amp;Table94[[#This Row],[Date Acquired]]</f>
        <v/>
      </c>
      <c r="J57" s="37" t="n">
        <v>0.039</v>
      </c>
      <c r="K57" s="38" t="n">
        <v>627.88</v>
      </c>
      <c r="L57" s="39" t="n"/>
      <c r="M57" s="37" t="n"/>
      <c r="N57" s="37" t="n"/>
      <c r="O57" s="38">
        <f>IF(Table94[[#This Row],[Transaction]]="Closed",Table94[[#This Row],[Proceeds]]/Table94[[#This Row],[Shares Sold]],"")</f>
        <v/>
      </c>
      <c r="P57" s="38" t="n"/>
    </row>
    <row r="58" ht="14" customHeight="1">
      <c r="B58" s="37" t="inlineStr">
        <is>
          <t>XX789</t>
        </is>
      </c>
      <c r="C58" s="37">
        <f t="array" ref="C58">_xlfn.XLOOKUP(Table94[[#This Row],[Account]],Table2[[#All],[Account]],Table2[[#All],[Account Type2]])</f>
        <v/>
      </c>
      <c r="D58" s="37">
        <f t="array" ref="D58">_xlfn.XLOOKUP(Table94[[#This Row],[Account]],Table2[[#All],[Account]],Table2[[#All],[Owner]])</f>
        <v/>
      </c>
      <c r="E58" s="37" t="inlineStr">
        <is>
          <t>Open</t>
        </is>
      </c>
      <c r="F58" s="37" t="inlineStr">
        <is>
          <t>VOO</t>
        </is>
      </c>
      <c r="G58" s="31">
        <f t="array" ref="G58">_xlfn.XLOOKUP(Table94[[#This Row],[Symbol]],Table36[[#All],[Symbol]],Table36[[#All],[Security Description]])</f>
        <v/>
      </c>
      <c r="H58" s="8" t="n">
        <v>45965</v>
      </c>
      <c r="I58" s="9">
        <f>Table94[[#This Row],[Symbol]]&amp;" "&amp;Table94[[#This Row],[Date Acquired]]</f>
        <v/>
      </c>
      <c r="J58" s="37" t="n">
        <v>0.16</v>
      </c>
      <c r="K58" s="38" t="n">
        <v>624.21</v>
      </c>
      <c r="L58" s="39" t="n"/>
      <c r="M58" s="37" t="n"/>
      <c r="N58" s="37" t="n"/>
      <c r="O58" s="38">
        <f>IF(Table94[[#This Row],[Transaction]]="Closed",Table94[[#This Row],[Proceeds]]/Table94[[#This Row],[Shares Sold]],"")</f>
        <v/>
      </c>
      <c r="P58" s="38" t="n"/>
    </row>
    <row r="59" ht="14" customHeight="1">
      <c r="B59" s="37" t="inlineStr">
        <is>
          <t>XX789</t>
        </is>
      </c>
      <c r="C59" s="37">
        <f t="array" ref="C59">_xlfn.XLOOKUP(Table94[[#This Row],[Account]],Table2[[#All],[Account]],Table2[[#All],[Account Type2]])</f>
        <v/>
      </c>
      <c r="D59" s="37">
        <f t="array" ref="D59">_xlfn.XLOOKUP(Table94[[#This Row],[Account]],Table2[[#All],[Account]],Table2[[#All],[Owner]])</f>
        <v/>
      </c>
      <c r="E59" s="37" t="inlineStr">
        <is>
          <t>Open</t>
        </is>
      </c>
      <c r="F59" s="37" t="inlineStr">
        <is>
          <t>VOO</t>
        </is>
      </c>
      <c r="G59" s="31">
        <f t="array" ref="G59">_xlfn.XLOOKUP(Table94[[#This Row],[Symbol]],Table36[[#All],[Symbol]],Table36[[#All],[Security Description]])</f>
        <v/>
      </c>
      <c r="H59" s="8" t="n">
        <v>45968</v>
      </c>
      <c r="I59" s="9">
        <f>Table94[[#This Row],[Symbol]]&amp;" "&amp;Table94[[#This Row],[Date Acquired]]</f>
        <v/>
      </c>
      <c r="J59" s="37" t="n">
        <v>0.04</v>
      </c>
      <c r="K59" s="38" t="n">
        <v>613.03</v>
      </c>
      <c r="L59" s="39" t="n"/>
      <c r="M59" s="37" t="n"/>
      <c r="N59" s="37" t="n"/>
      <c r="O59" s="38">
        <f>IF(Table94[[#This Row],[Transaction]]="Closed",Table94[[#This Row],[Proceeds]]/Table94[[#This Row],[Shares Sold]],"")</f>
        <v/>
      </c>
      <c r="P59" s="38" t="n"/>
    </row>
    <row r="60" ht="14" customHeight="1">
      <c r="B60" s="37" t="inlineStr">
        <is>
          <t>XX789</t>
        </is>
      </c>
      <c r="C60" s="37">
        <f t="array" ref="C60">_xlfn.XLOOKUP(Table94[[#This Row],[Account]],Table2[[#All],[Account]],Table2[[#All],[Account Type2]])</f>
        <v/>
      </c>
      <c r="D60" s="37">
        <f t="array" ref="D60">_xlfn.XLOOKUP(Table94[[#This Row],[Account]],Table2[[#All],[Account]],Table2[[#All],[Owner]])</f>
        <v/>
      </c>
      <c r="E60" s="37" t="inlineStr">
        <is>
          <t>Open</t>
        </is>
      </c>
      <c r="F60" s="37" t="inlineStr">
        <is>
          <t>VOO</t>
        </is>
      </c>
      <c r="G60" s="31">
        <f t="array" ref="G60">_xlfn.XLOOKUP(Table94[[#This Row],[Symbol]],Table36[[#All],[Symbol]],Table36[[#All],[Security Description]])</f>
        <v/>
      </c>
      <c r="H60" s="8" t="n">
        <v>45972</v>
      </c>
      <c r="I60" s="9">
        <f>Table94[[#This Row],[Symbol]]&amp;" "&amp;Table94[[#This Row],[Date Acquired]]</f>
        <v/>
      </c>
      <c r="J60" s="37" t="n">
        <v>0.159</v>
      </c>
      <c r="K60" s="38" t="n">
        <v>625.65</v>
      </c>
      <c r="L60" s="39" t="n"/>
      <c r="M60" s="37" t="n"/>
      <c r="N60" s="37" t="n"/>
      <c r="O60" s="38">
        <f>IF(Table94[[#This Row],[Transaction]]="Closed",Table94[[#This Row],[Proceeds]]/Table94[[#This Row],[Shares Sold]],"")</f>
        <v/>
      </c>
      <c r="P60" s="38" t="n"/>
    </row>
    <row r="61" ht="14" customHeight="1">
      <c r="B61" s="37" t="inlineStr">
        <is>
          <t>XX789</t>
        </is>
      </c>
      <c r="C61" s="37">
        <f t="array" ref="C61">_xlfn.XLOOKUP(Table94[[#This Row],[Account]],Table2[[#All],[Account]],Table2[[#All],[Account Type2]])</f>
        <v/>
      </c>
      <c r="D61" s="37">
        <f t="array" ref="D61">_xlfn.XLOOKUP(Table94[[#This Row],[Account]],Table2[[#All],[Account]],Table2[[#All],[Owner]])</f>
        <v/>
      </c>
      <c r="E61" s="37" t="inlineStr">
        <is>
          <t>Open</t>
        </is>
      </c>
      <c r="F61" s="37" t="inlineStr">
        <is>
          <t>VOO</t>
        </is>
      </c>
      <c r="G61" s="31">
        <f t="array" ref="G61">_xlfn.XLOOKUP(Table94[[#This Row],[Symbol]],Table36[[#All],[Symbol]],Table36[[#All],[Security Description]])</f>
        <v/>
      </c>
      <c r="H61" s="8" t="n">
        <v>45975</v>
      </c>
      <c r="I61" s="9">
        <f>Table94[[#This Row],[Symbol]]&amp;" "&amp;Table94[[#This Row],[Date Acquired]]</f>
        <v/>
      </c>
      <c r="J61" s="37" t="n">
        <v>0.04</v>
      </c>
      <c r="K61" s="38" t="n">
        <v>614.1</v>
      </c>
      <c r="L61" s="39" t="n"/>
      <c r="M61" s="37" t="n"/>
      <c r="N61" s="37" t="n"/>
      <c r="O61" s="38">
        <f>IF(Table94[[#This Row],[Transaction]]="Closed",Table94[[#This Row],[Proceeds]]/Table94[[#This Row],[Shares Sold]],"")</f>
        <v/>
      </c>
      <c r="P61" s="38" t="n"/>
    </row>
    <row r="62" ht="14" customHeight="1">
      <c r="B62" s="37" t="inlineStr">
        <is>
          <t>XX789</t>
        </is>
      </c>
      <c r="C62" s="37">
        <f t="array" ref="C62">_xlfn.XLOOKUP(Table94[[#This Row],[Account]],Table2[[#All],[Account]],Table2[[#All],[Account Type2]])</f>
        <v/>
      </c>
      <c r="D62" s="37">
        <f t="array" ref="D62">_xlfn.XLOOKUP(Table94[[#This Row],[Account]],Table2[[#All],[Account]],Table2[[#All],[Owner]])</f>
        <v/>
      </c>
      <c r="E62" s="37" t="inlineStr">
        <is>
          <t>Open</t>
        </is>
      </c>
      <c r="F62" s="37" t="inlineStr">
        <is>
          <t>VOO</t>
        </is>
      </c>
      <c r="G62" s="31">
        <f t="array" ref="G62">_xlfn.XLOOKUP(Table94[[#This Row],[Symbol]],Table36[[#All],[Symbol]],Table36[[#All],[Security Description]])</f>
        <v/>
      </c>
      <c r="H62" s="8" t="n">
        <v>45979</v>
      </c>
      <c r="I62" s="9">
        <f>Table94[[#This Row],[Symbol]]&amp;" "&amp;Table94[[#This Row],[Date Acquired]]</f>
        <v/>
      </c>
      <c r="J62" s="37">
        <f>0.054+0.111</f>
        <v/>
      </c>
      <c r="K62" s="38" t="n">
        <v>604.59</v>
      </c>
      <c r="L62" s="39" t="n"/>
      <c r="M62" s="37" t="n"/>
      <c r="N62" s="37" t="n"/>
      <c r="O62" s="38">
        <f>IF(Table94[[#This Row],[Transaction]]="Closed",Table94[[#This Row],[Proceeds]]/Table94[[#This Row],[Shares Sold]],"")</f>
        <v/>
      </c>
      <c r="P62" s="38" t="n"/>
    </row>
    <row r="63" ht="14" customHeight="1">
      <c r="B63" s="37" t="inlineStr">
        <is>
          <t>XX789</t>
        </is>
      </c>
      <c r="C63" s="37">
        <f t="array" ref="C63">_xlfn.XLOOKUP(Table94[[#This Row],[Account]],Table2[[#All],[Account]],Table2[[#All],[Account Type2]])</f>
        <v/>
      </c>
      <c r="D63" s="37">
        <f t="array" ref="D63">_xlfn.XLOOKUP(Table94[[#This Row],[Account]],Table2[[#All],[Account]],Table2[[#All],[Owner]])</f>
        <v/>
      </c>
      <c r="E63" s="37" t="inlineStr">
        <is>
          <t>Open</t>
        </is>
      </c>
      <c r="F63" s="37" t="inlineStr">
        <is>
          <t>VOO</t>
        </is>
      </c>
      <c r="G63" s="31">
        <f t="array" ref="G63">_xlfn.XLOOKUP(Table94[[#This Row],[Symbol]],Table36[[#All],[Symbol]],Table36[[#All],[Security Description]])</f>
        <v/>
      </c>
      <c r="H63" s="8" t="n">
        <v>45982</v>
      </c>
      <c r="I63" s="9">
        <f>Table94[[#This Row],[Symbol]]&amp;" "&amp;Table94[[#This Row],[Date Acquired]]</f>
        <v/>
      </c>
      <c r="J63" s="37" t="n">
        <v>0.041</v>
      </c>
      <c r="K63" s="38" t="n">
        <v>602.53</v>
      </c>
      <c r="L63" s="39" t="n"/>
      <c r="M63" s="37" t="n"/>
      <c r="N63" s="37" t="n"/>
      <c r="O63" s="38">
        <f>IF(Table94[[#This Row],[Transaction]]="Closed",Table94[[#This Row],[Proceeds]]/Table94[[#This Row],[Shares Sold]],"")</f>
        <v/>
      </c>
      <c r="P63" s="38" t="n"/>
    </row>
    <row r="64" ht="14" customHeight="1">
      <c r="B64" s="37" t="inlineStr">
        <is>
          <t>XX789</t>
        </is>
      </c>
      <c r="C64" s="37">
        <f t="array" ref="C64">_xlfn.XLOOKUP(Table94[[#This Row],[Account]],Table2[[#All],[Account]],Table2[[#All],[Account Type2]])</f>
        <v/>
      </c>
      <c r="D64" s="37">
        <f t="array" ref="D64">_xlfn.XLOOKUP(Table94[[#This Row],[Account]],Table2[[#All],[Account]],Table2[[#All],[Owner]])</f>
        <v/>
      </c>
      <c r="E64" s="37" t="inlineStr">
        <is>
          <t>Open</t>
        </is>
      </c>
      <c r="F64" s="37" t="inlineStr">
        <is>
          <t>VOO</t>
        </is>
      </c>
      <c r="G64" s="31">
        <f t="array" ref="G64">_xlfn.XLOOKUP(Table94[[#This Row],[Symbol]],Table36[[#All],[Symbol]],Table36[[#All],[Security Description]])</f>
        <v/>
      </c>
      <c r="H64" s="8" t="n">
        <v>45986</v>
      </c>
      <c r="I64" s="9">
        <f>Table94[[#This Row],[Symbol]]&amp;" "&amp;Table94[[#This Row],[Date Acquired]]</f>
        <v/>
      </c>
      <c r="J64" s="37">
        <f>0.14+0.023</f>
        <v/>
      </c>
      <c r="K64" s="38" t="n">
        <v>612.65</v>
      </c>
      <c r="L64" s="39" t="n"/>
      <c r="M64" s="37" t="n"/>
      <c r="N64" s="37" t="n"/>
      <c r="O64" s="38">
        <f>IF(Table94[[#This Row],[Transaction]]="Closed",Table94[[#This Row],[Proceeds]]/Table94[[#This Row],[Shares Sold]],"")</f>
        <v/>
      </c>
      <c r="P64" s="38" t="n"/>
    </row>
    <row r="65" ht="14" customHeight="1">
      <c r="B65" s="37" t="inlineStr">
        <is>
          <t>XX789</t>
        </is>
      </c>
      <c r="C65" s="37">
        <f t="array" ref="C65">_xlfn.XLOOKUP(Table94[[#This Row],[Account]],Table2[[#All],[Account]],Table2[[#All],[Account Type2]])</f>
        <v/>
      </c>
      <c r="D65" s="37">
        <f t="array" ref="D65">_xlfn.XLOOKUP(Table94[[#This Row],[Account]],Table2[[#All],[Account]],Table2[[#All],[Owner]])</f>
        <v/>
      </c>
      <c r="E65" s="37" t="inlineStr">
        <is>
          <t>Open</t>
        </is>
      </c>
      <c r="F65" s="37" t="inlineStr">
        <is>
          <t>VOO</t>
        </is>
      </c>
      <c r="G65" s="31">
        <f t="array" ref="G65">_xlfn.XLOOKUP(Table94[[#This Row],[Symbol]],Table36[[#All],[Symbol]],Table36[[#All],[Security Description]])</f>
        <v/>
      </c>
      <c r="H65" s="8" t="n">
        <v>45989</v>
      </c>
      <c r="I65" s="9">
        <f>Table94[[#This Row],[Symbol]]&amp;" "&amp;Table94[[#This Row],[Date Acquired]]</f>
        <v/>
      </c>
      <c r="J65" s="37" t="n">
        <v>0.039</v>
      </c>
      <c r="K65" s="38" t="n">
        <v>626.9400000000001</v>
      </c>
      <c r="L65" s="39" t="n"/>
      <c r="M65" s="37" t="n"/>
      <c r="N65" s="37" t="n"/>
      <c r="O65" s="38">
        <f>IF(Table94[[#This Row],[Transaction]]="Closed",Table94[[#This Row],[Proceeds]]/Table94[[#This Row],[Shares Sold]],"")</f>
        <v/>
      </c>
      <c r="P65" s="38" t="n"/>
    </row>
    <row r="66" ht="14" customHeight="1">
      <c r="B66" s="37" t="inlineStr">
        <is>
          <t>XX789</t>
        </is>
      </c>
      <c r="C66" s="37">
        <f t="array" ref="C66">_xlfn.XLOOKUP(Table94[[#This Row],[Account]],Table2[[#All],[Account]],Table2[[#All],[Account Type2]])</f>
        <v/>
      </c>
      <c r="D66" s="37">
        <f t="array" ref="D66">_xlfn.XLOOKUP(Table94[[#This Row],[Account]],Table2[[#All],[Account]],Table2[[#All],[Owner]])</f>
        <v/>
      </c>
      <c r="E66" s="37" t="inlineStr">
        <is>
          <t>Open</t>
        </is>
      </c>
      <c r="F66" s="37" t="inlineStr">
        <is>
          <t>VOO</t>
        </is>
      </c>
      <c r="G66" s="31">
        <f t="array" ref="G66">_xlfn.XLOOKUP(Table94[[#This Row],[Symbol]],Table36[[#All],[Symbol]],Table36[[#All],[Security Description]])</f>
        <v/>
      </c>
      <c r="H66" s="8" t="n">
        <v>45993</v>
      </c>
      <c r="I66" s="9">
        <f>Table94[[#This Row],[Symbol]]&amp;" "&amp;Table94[[#This Row],[Date Acquired]]</f>
        <v/>
      </c>
      <c r="J66" s="37" t="n">
        <v>0.158</v>
      </c>
      <c r="K66" s="38" t="n">
        <v>628.7</v>
      </c>
      <c r="L66" s="39" t="n"/>
      <c r="M66" s="37" t="n"/>
      <c r="N66" s="37" t="n"/>
      <c r="O66" s="38">
        <f>IF(Table94[[#This Row],[Transaction]]="Closed",Table94[[#This Row],[Proceeds]]/Table94[[#This Row],[Shares Sold]],"")</f>
        <v/>
      </c>
      <c r="P66" s="38" t="n"/>
    </row>
    <row r="67" ht="14" customHeight="1">
      <c r="B67" s="37" t="inlineStr">
        <is>
          <t>XX789</t>
        </is>
      </c>
      <c r="C67" s="37">
        <f t="array" ref="C67">_xlfn.XLOOKUP(Table94[[#This Row],[Account]],Table2[[#All],[Account]],Table2[[#All],[Account Type2]])</f>
        <v/>
      </c>
      <c r="D67" s="37">
        <f t="array" ref="D67">_xlfn.XLOOKUP(Table94[[#This Row],[Account]],Table2[[#All],[Account]],Table2[[#All],[Owner]])</f>
        <v/>
      </c>
      <c r="E67" s="37" t="inlineStr">
        <is>
          <t>Open</t>
        </is>
      </c>
      <c r="F67" s="37" t="inlineStr">
        <is>
          <t>VOO</t>
        </is>
      </c>
      <c r="G67" s="31">
        <f t="array" ref="G67">_xlfn.XLOOKUP(Table94[[#This Row],[Symbol]],Table36[[#All],[Symbol]],Table36[[#All],[Security Description]])</f>
        <v/>
      </c>
      <c r="H67" s="8" t="n">
        <v>45996</v>
      </c>
      <c r="I67" s="9">
        <f>Table94[[#This Row],[Symbol]]&amp;" "&amp;Table94[[#This Row],[Date Acquired]]</f>
        <v/>
      </c>
      <c r="J67" s="37" t="n">
        <v>0.039</v>
      </c>
      <c r="K67" s="38" t="n">
        <v>632.5599999999999</v>
      </c>
      <c r="L67" s="39" t="n"/>
      <c r="M67" s="37" t="n"/>
      <c r="N67" s="37" t="n"/>
      <c r="O67" s="38">
        <f>IF(Table94[[#This Row],[Transaction]]="Closed",Table94[[#This Row],[Proceeds]]/Table94[[#This Row],[Shares Sold]],"")</f>
        <v/>
      </c>
      <c r="P67" s="38" t="n"/>
    </row>
    <row r="68" ht="14" customHeight="1">
      <c r="B68" s="37" t="inlineStr">
        <is>
          <t>XX789</t>
        </is>
      </c>
      <c r="C68" s="37">
        <f t="array" ref="C68">_xlfn.XLOOKUP(Table94[[#This Row],[Account]],Table2[[#All],[Account]],Table2[[#All],[Account Type2]])</f>
        <v/>
      </c>
      <c r="D68" s="37">
        <f t="array" ref="D68">_xlfn.XLOOKUP(Table94[[#This Row],[Account]],Table2[[#All],[Account]],Table2[[#All],[Owner]])</f>
        <v/>
      </c>
      <c r="E68" s="37" t="inlineStr">
        <is>
          <t>Open</t>
        </is>
      </c>
      <c r="F68" s="37" t="inlineStr">
        <is>
          <t>VOO</t>
        </is>
      </c>
      <c r="G68" s="31">
        <f t="array" ref="G68">_xlfn.XLOOKUP(Table94[[#This Row],[Symbol]],Table36[[#All],[Symbol]],Table36[[#All],[Security Description]])</f>
        <v/>
      </c>
      <c r="H68" s="8" t="n">
        <v>46000</v>
      </c>
      <c r="I68" s="9">
        <f>Table94[[#This Row],[Symbol]]&amp;" "&amp;Table94[[#This Row],[Date Acquired]]</f>
        <v/>
      </c>
      <c r="J68" s="37" t="n">
        <v>0.158</v>
      </c>
      <c r="K68" s="38" t="n">
        <v>629.67</v>
      </c>
      <c r="L68" s="39" t="n"/>
      <c r="M68" s="37" t="n"/>
      <c r="N68" s="37" t="n"/>
      <c r="O68" s="38">
        <f>IF(Table94[[#This Row],[Transaction]]="Closed",Table94[[#This Row],[Proceeds]]/Table94[[#This Row],[Shares Sold]],"")</f>
        <v/>
      </c>
      <c r="P68" s="38" t="n"/>
    </row>
    <row r="69" ht="14" customHeight="1">
      <c r="B69" s="37" t="inlineStr">
        <is>
          <t>XX789</t>
        </is>
      </c>
      <c r="C69" s="37">
        <f t="array" ref="C69">_xlfn.XLOOKUP(Table94[[#This Row],[Account]],Table2[[#All],[Account]],Table2[[#All],[Account Type2]])</f>
        <v/>
      </c>
      <c r="D69" s="37">
        <f t="array" ref="D69">_xlfn.XLOOKUP(Table94[[#This Row],[Account]],Table2[[#All],[Account]],Table2[[#All],[Owner]])</f>
        <v/>
      </c>
      <c r="E69" s="37" t="inlineStr">
        <is>
          <t>Open</t>
        </is>
      </c>
      <c r="F69" s="37" t="inlineStr">
        <is>
          <t>VOO</t>
        </is>
      </c>
      <c r="G69" s="31">
        <f t="array" ref="G69">_xlfn.XLOOKUP(Table94[[#This Row],[Symbol]],Table36[[#All],[Symbol]],Table36[[#All],[Security Description]])</f>
        <v/>
      </c>
      <c r="H69" s="8" t="n">
        <v>46003</v>
      </c>
      <c r="I69" s="9">
        <f>Table94[[#This Row],[Symbol]]&amp;" "&amp;Table94[[#This Row],[Date Acquired]]</f>
        <v/>
      </c>
      <c r="J69" s="37" t="n">
        <v>0.039</v>
      </c>
      <c r="K69" s="38" t="n">
        <v>631.34</v>
      </c>
      <c r="L69" s="39" t="n"/>
      <c r="M69" s="37" t="n"/>
      <c r="N69" s="37" t="n"/>
      <c r="O69" s="38">
        <f>IF(Table94[[#This Row],[Transaction]]="Closed",Table94[[#This Row],[Proceeds]]/Table94[[#This Row],[Shares Sold]],"")</f>
        <v/>
      </c>
      <c r="P69" s="38" t="n"/>
    </row>
    <row r="70" ht="14" customHeight="1">
      <c r="B70" s="37" t="inlineStr">
        <is>
          <t>XX789</t>
        </is>
      </c>
      <c r="C70" s="37">
        <f t="array" ref="C70">_xlfn.XLOOKUP(Table94[[#This Row],[Account]],Table2[[#All],[Account]],Table2[[#All],[Account Type2]])</f>
        <v/>
      </c>
      <c r="D70" s="37">
        <f t="array" ref="D70">_xlfn.XLOOKUP(Table94[[#This Row],[Account]],Table2[[#All],[Account]],Table2[[#All],[Owner]])</f>
        <v/>
      </c>
      <c r="E70" s="37" t="inlineStr">
        <is>
          <t>Open</t>
        </is>
      </c>
      <c r="F70" s="37" t="inlineStr">
        <is>
          <t>VOO</t>
        </is>
      </c>
      <c r="G70" s="31">
        <f t="array" ref="G70">_xlfn.XLOOKUP(Table94[[#This Row],[Symbol]],Table36[[#All],[Symbol]],Table36[[#All],[Security Description]])</f>
        <v/>
      </c>
      <c r="H70" s="8" t="n">
        <v>46007</v>
      </c>
      <c r="I70" s="9">
        <f>Table94[[#This Row],[Symbol]]&amp;" "&amp;Table94[[#This Row],[Date Acquired]]</f>
        <v/>
      </c>
      <c r="J70" s="37" t="n">
        <v>0.159</v>
      </c>
      <c r="K70" s="38" t="n">
        <v>625.91</v>
      </c>
      <c r="L70" s="39" t="n"/>
      <c r="M70" s="37" t="n"/>
      <c r="N70" s="37" t="n"/>
      <c r="O70" s="38">
        <f>IF(Table94[[#This Row],[Transaction]]="Closed",Table94[[#This Row],[Proceeds]]/Table94[[#This Row],[Shares Sold]],"")</f>
        <v/>
      </c>
      <c r="P70" s="38" t="n"/>
    </row>
    <row r="71" ht="14" customHeight="1">
      <c r="B71" s="37" t="inlineStr">
        <is>
          <t>XX789</t>
        </is>
      </c>
      <c r="C71" s="37">
        <f t="array" ref="C71">_xlfn.XLOOKUP(Table94[[#This Row],[Account]],Table2[[#All],[Account]],Table2[[#All],[Account Type2]])</f>
        <v/>
      </c>
      <c r="D71" s="37">
        <f t="array" ref="D71">_xlfn.XLOOKUP(Table94[[#This Row],[Account]],Table2[[#All],[Account]],Table2[[#All],[Owner]])</f>
        <v/>
      </c>
      <c r="E71" s="37" t="inlineStr">
        <is>
          <t>Open</t>
        </is>
      </c>
      <c r="F71" s="37" t="inlineStr">
        <is>
          <t>VOO</t>
        </is>
      </c>
      <c r="G71" s="31">
        <f t="array" ref="G71">_xlfn.XLOOKUP(Table94[[#This Row],[Symbol]],Table36[[#All],[Symbol]],Table36[[#All],[Security Description]])</f>
        <v/>
      </c>
      <c r="H71" s="8" t="n">
        <v>46010</v>
      </c>
      <c r="I71" s="9">
        <f>Table94[[#This Row],[Symbol]]&amp;" "&amp;Table94[[#This Row],[Date Acquired]]</f>
        <v/>
      </c>
      <c r="J71" s="37" t="n">
        <v>0.039</v>
      </c>
      <c r="K71" s="38" t="n">
        <v>626.92</v>
      </c>
      <c r="L71" s="39" t="n"/>
      <c r="M71" s="37" t="n"/>
      <c r="N71" s="37" t="n"/>
      <c r="O71" s="38">
        <f>IF(Table94[[#This Row],[Transaction]]="Closed",Table94[[#This Row],[Proceeds]]/Table94[[#This Row],[Shares Sold]],"")</f>
        <v/>
      </c>
      <c r="P71" s="38" t="n"/>
    </row>
    <row r="72" ht="14" customHeight="1">
      <c r="B72" s="37" t="inlineStr">
        <is>
          <t>XX789</t>
        </is>
      </c>
      <c r="C72" s="37">
        <f t="array" ref="C72">_xlfn.XLOOKUP(Table94[[#This Row],[Account]],Table2[[#All],[Account]],Table2[[#All],[Account Type2]])</f>
        <v/>
      </c>
      <c r="D72" s="37">
        <f t="array" ref="D72">_xlfn.XLOOKUP(Table94[[#This Row],[Account]],Table2[[#All],[Account]],Table2[[#All],[Owner]])</f>
        <v/>
      </c>
      <c r="E72" s="37" t="inlineStr">
        <is>
          <t>Open</t>
        </is>
      </c>
      <c r="F72" s="37" t="inlineStr">
        <is>
          <t>VOO</t>
        </is>
      </c>
      <c r="G72" s="31">
        <f t="array" ref="G72">_xlfn.XLOOKUP(Table94[[#This Row],[Symbol]],Table36[[#All],[Symbol]],Table36[[#All],[Security Description]])</f>
        <v/>
      </c>
      <c r="H72" s="8" t="n">
        <v>46017</v>
      </c>
      <c r="I72" s="9">
        <f>Table94[[#This Row],[Symbol]]&amp;" "&amp;Table94[[#This Row],[Date Acquired]]</f>
        <v/>
      </c>
      <c r="J72" s="37" t="n">
        <v>0.039</v>
      </c>
      <c r="K72" s="38" t="n">
        <v>634.36</v>
      </c>
      <c r="L72" s="39" t="n"/>
      <c r="M72" s="37" t="n"/>
      <c r="N72" s="37" t="n"/>
      <c r="O72" s="38">
        <f>IF(Table94[[#This Row],[Transaction]]="Closed",Table94[[#This Row],[Proceeds]]/Table94[[#This Row],[Shares Sold]],"")</f>
        <v/>
      </c>
      <c r="P72" s="38" t="n"/>
    </row>
    <row r="73" ht="14" customHeight="1">
      <c r="B73" s="37" t="inlineStr">
        <is>
          <t>XX789</t>
        </is>
      </c>
      <c r="C73" s="37">
        <f t="array" ref="C73">_xlfn.XLOOKUP(Table94[[#This Row],[Account]],Table2[[#All],[Account]],Table2[[#All],[Account Type2]])</f>
        <v/>
      </c>
      <c r="D73" s="37">
        <f t="array" ref="D73">_xlfn.XLOOKUP(Table94[[#This Row],[Account]],Table2[[#All],[Account]],Table2[[#All],[Owner]])</f>
        <v/>
      </c>
      <c r="E73" s="37" t="inlineStr">
        <is>
          <t>Open</t>
        </is>
      </c>
      <c r="F73" s="37" t="inlineStr">
        <is>
          <t>VOO</t>
        </is>
      </c>
      <c r="G73" s="31">
        <f t="array" ref="G73">_xlfn.XLOOKUP(Table94[[#This Row],[Symbol]],Table36[[#All],[Symbol]],Table36[[#All],[Security Description]])</f>
        <v/>
      </c>
      <c r="H73" s="8" t="n">
        <v>46121</v>
      </c>
      <c r="I73" s="9">
        <f>Table94[[#This Row],[Symbol]]&amp;" "&amp;Table94[[#This Row],[Date Acquired]]</f>
        <v/>
      </c>
      <c r="J73" s="37" t="n">
        <v>0.039</v>
      </c>
      <c r="K73" s="38" t="n">
        <v>643.33</v>
      </c>
      <c r="L73" s="39" t="n"/>
      <c r="M73" s="37" t="n"/>
      <c r="N73" s="37" t="n"/>
      <c r="O73" s="38">
        <f>IF(Table94[[#This Row],[Transaction]]="Closed",Table94[[#This Row],[Proceeds]]/Table94[[#This Row],[Shares Sold]],"")</f>
        <v/>
      </c>
      <c r="P73" s="38" t="n"/>
    </row>
    <row r="74" ht="14" customHeight="1">
      <c r="B74" s="37" t="inlineStr">
        <is>
          <t>XX789</t>
        </is>
      </c>
      <c r="C74" s="37">
        <f t="array" ref="C74">_xlfn.XLOOKUP(Table94[[#This Row],[Account]],Table2[[#All],[Account]],Table2[[#All],[Account Type2]])</f>
        <v/>
      </c>
      <c r="D74" s="37">
        <f t="array" ref="D74">_xlfn.XLOOKUP(Table94[[#This Row],[Account]],Table2[[#All],[Account]],Table2[[#All],[Owner]])</f>
        <v/>
      </c>
      <c r="E74" s="37" t="inlineStr">
        <is>
          <t>Open</t>
        </is>
      </c>
      <c r="F74" s="37" t="inlineStr">
        <is>
          <t>VOO</t>
        </is>
      </c>
      <c r="G74" s="31">
        <f t="array" ref="G74">_xlfn.XLOOKUP(Table94[[#This Row],[Symbol]],Table36[[#All],[Symbol]],Table36[[#All],[Security Description]])</f>
        <v/>
      </c>
      <c r="H74" s="8" t="n">
        <v>46128</v>
      </c>
      <c r="I74" s="9">
        <f>Table94[[#This Row],[Symbol]]&amp;" "&amp;Table94[[#This Row],[Date Acquired]]</f>
        <v/>
      </c>
      <c r="J74" s="37" t="n">
        <v>0.038</v>
      </c>
      <c r="K74" s="38" t="n">
        <v>644.73684211</v>
      </c>
      <c r="L74" s="9" t="n"/>
      <c r="M74" s="14" t="n"/>
      <c r="N74" s="37" t="n"/>
      <c r="O74" s="40">
        <f>IF(Table94[[#This Row],[Transaction]]="Closed",Table94[[#This Row],[Proceeds]]/Table94[[#This Row],[Shares Sold]],"")</f>
        <v/>
      </c>
      <c r="P74" s="16" t="n"/>
    </row>
  </sheetData>
  <pageMargins left="0.7" right="0.7" top="0.75" bottom="0.75" header="0.3" footer="0.3"/>
  <pageSetup orientation="portrait" horizontalDpi="0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tabColor theme="8"/>
    <outlinePr summaryBelow="1" summaryRight="1"/>
    <pageSetUpPr/>
  </sheetPr>
  <dimension ref="B2:D18"/>
  <sheetViews>
    <sheetView workbookViewId="0">
      <selection activeCell="E1" sqref="E1:I1048576"/>
    </sheetView>
  </sheetViews>
  <sheetFormatPr baseColWidth="10" defaultRowHeight="16"/>
  <cols>
    <col width="10.83203125" customWidth="1" style="17" min="1" max="1"/>
    <col width="14.6640625" customWidth="1" style="17" min="2" max="3"/>
    <col width="10.83203125" customWidth="1" style="17" min="4" max="16384"/>
  </cols>
  <sheetData>
    <row r="2">
      <c r="B2" s="18" t="inlineStr">
        <is>
          <t>Account</t>
        </is>
      </c>
      <c r="C2" s="18" t="inlineStr">
        <is>
          <t>Account Type2</t>
        </is>
      </c>
      <c r="D2" s="19" t="inlineStr">
        <is>
          <t>Owner</t>
        </is>
      </c>
    </row>
    <row r="3">
      <c r="B3" s="13" t="inlineStr">
        <is>
          <t>XX123</t>
        </is>
      </c>
      <c r="C3" s="37" t="inlineStr">
        <is>
          <t>Brokerage</t>
        </is>
      </c>
      <c r="D3" s="36" t="inlineStr">
        <is>
          <t>Drew</t>
        </is>
      </c>
    </row>
    <row r="4">
      <c r="B4" s="13" t="inlineStr">
        <is>
          <t>XX456</t>
        </is>
      </c>
      <c r="C4" s="37" t="inlineStr">
        <is>
          <t>IRA</t>
        </is>
      </c>
      <c r="D4" s="36" t="inlineStr">
        <is>
          <t>Shaun</t>
        </is>
      </c>
    </row>
    <row r="5">
      <c r="B5" s="13" t="inlineStr">
        <is>
          <t>XX789</t>
        </is>
      </c>
      <c r="C5" s="37" t="inlineStr">
        <is>
          <t>HSA</t>
        </is>
      </c>
      <c r="D5" s="36" t="inlineStr">
        <is>
          <t>Jackson</t>
        </is>
      </c>
    </row>
    <row r="6">
      <c r="B6" s="13" t="n"/>
      <c r="C6" s="37" t="n"/>
    </row>
    <row r="7">
      <c r="B7" s="13" t="n"/>
      <c r="C7" s="37" t="n"/>
    </row>
    <row r="8">
      <c r="B8" s="13" t="n"/>
      <c r="C8" s="37" t="n"/>
    </row>
    <row r="9">
      <c r="B9" s="13" t="n"/>
      <c r="C9" s="37" t="n"/>
    </row>
    <row r="10">
      <c r="B10" s="13" t="n"/>
      <c r="C10" s="37" t="n"/>
    </row>
    <row r="11">
      <c r="B11" s="13" t="n"/>
      <c r="C11" s="37" t="n"/>
    </row>
    <row r="12">
      <c r="B12" s="13" t="n"/>
      <c r="C12" s="37" t="n"/>
    </row>
    <row r="13">
      <c r="B13" s="13" t="n"/>
      <c r="C13" s="37" t="n"/>
    </row>
    <row r="14">
      <c r="B14" s="13" t="n"/>
      <c r="C14" s="37" t="n"/>
    </row>
    <row r="15">
      <c r="B15" s="15" t="n"/>
      <c r="C15" s="37" t="n"/>
    </row>
    <row r="16">
      <c r="B16" s="15" t="n"/>
      <c r="C16" s="37" t="n"/>
      <c r="D16" s="32" t="n"/>
    </row>
    <row r="17">
      <c r="B17" s="15" t="n"/>
      <c r="C17" s="37" t="n"/>
      <c r="D17" s="32" t="n"/>
    </row>
    <row r="18">
      <c r="B18" s="15" t="n"/>
      <c r="C18" s="37" t="n"/>
      <c r="D18" s="32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theme="8"/>
    <outlinePr summaryBelow="1" summaryRight="1"/>
    <pageSetUpPr/>
  </sheetPr>
  <dimension ref="B2:C766"/>
  <sheetViews>
    <sheetView workbookViewId="0">
      <selection activeCell="C25" sqref="C25"/>
    </sheetView>
  </sheetViews>
  <sheetFormatPr baseColWidth="10" defaultRowHeight="16"/>
  <cols>
    <col width="10.83203125" customWidth="1" style="17" min="1" max="2"/>
    <col width="80.83203125" bestFit="1" customWidth="1" style="17" min="3" max="3"/>
    <col width="10.83203125" customWidth="1" style="17" min="4" max="16384"/>
  </cols>
  <sheetData>
    <row r="2" ht="29" customHeight="1">
      <c r="B2" s="28" t="inlineStr">
        <is>
          <t>Symbol</t>
        </is>
      </c>
      <c r="C2" s="28" t="inlineStr">
        <is>
          <t>Security Description</t>
        </is>
      </c>
    </row>
    <row r="3">
      <c r="B3" s="29" t="inlineStr">
        <is>
          <t>AAPL</t>
        </is>
      </c>
      <c r="C3" s="29" t="inlineStr">
        <is>
          <t>APPLE INC</t>
        </is>
      </c>
    </row>
    <row r="4">
      <c r="B4" s="29" t="inlineStr">
        <is>
          <t>ABBV</t>
        </is>
      </c>
      <c r="C4" s="29" t="inlineStr">
        <is>
          <t>ABBVIE INC COM</t>
        </is>
      </c>
    </row>
    <row r="5">
      <c r="B5" s="29" t="inlineStr">
        <is>
          <t>ABNB</t>
        </is>
      </c>
      <c r="C5" s="29" t="inlineStr">
        <is>
          <t>AIRBNB INC COM CL A</t>
        </is>
      </c>
    </row>
    <row r="6">
      <c r="B6" s="29" t="inlineStr">
        <is>
          <t>ACN</t>
        </is>
      </c>
      <c r="C6" s="35" t="inlineStr">
        <is>
          <t>ACCENTURE PLC</t>
        </is>
      </c>
    </row>
    <row r="7">
      <c r="B7" s="29" t="inlineStr">
        <is>
          <t>ADBE</t>
        </is>
      </c>
      <c r="C7" s="29" t="inlineStr">
        <is>
          <t>ADOBE SYSTEMS INCORPORATED COM</t>
        </is>
      </c>
    </row>
    <row r="8">
      <c r="B8" s="29" t="inlineStr">
        <is>
          <t>AI</t>
        </is>
      </c>
      <c r="C8" s="29" t="inlineStr">
        <is>
          <t>C3 AI INC CL A</t>
        </is>
      </c>
    </row>
    <row r="9">
      <c r="B9" s="29" t="inlineStr">
        <is>
          <t>AMD</t>
        </is>
      </c>
      <c r="C9" s="29" t="inlineStr">
        <is>
          <t>ADVANCED MICRO DEVICES INC</t>
        </is>
      </c>
    </row>
    <row r="10">
      <c r="B10" s="29" t="inlineStr">
        <is>
          <t>AMZN</t>
        </is>
      </c>
      <c r="C10" s="34" t="inlineStr">
        <is>
          <t>AMAZON.COM INC</t>
        </is>
      </c>
    </row>
    <row r="11">
      <c r="B11" s="29" t="inlineStr">
        <is>
          <t>ANET</t>
        </is>
      </c>
      <c r="C11" s="29" t="inlineStr">
        <is>
          <t>ARISTA NETWORKS INC COM USD0.0001</t>
        </is>
      </c>
    </row>
    <row r="12">
      <c r="B12" s="29" t="inlineStr">
        <is>
          <t>APPN</t>
        </is>
      </c>
      <c r="C12" s="29" t="inlineStr">
        <is>
          <t>APPIAN CORP CL A</t>
        </is>
      </c>
    </row>
    <row r="13">
      <c r="B13" s="29" t="inlineStr">
        <is>
          <t>ASAN</t>
        </is>
      </c>
      <c r="C13" s="29" t="inlineStr">
        <is>
          <t>ASANA INC CL A</t>
        </is>
      </c>
    </row>
    <row r="14">
      <c r="B14" s="29" t="inlineStr">
        <is>
          <t>ASML</t>
        </is>
      </c>
      <c r="C14" s="29" t="inlineStr">
        <is>
          <t>ASML HOLDING NV EUR0.09 NY REGISTRY SHS 2012</t>
        </is>
      </c>
    </row>
    <row r="15">
      <c r="B15" s="29" t="inlineStr">
        <is>
          <t>ATVI</t>
        </is>
      </c>
      <c r="C15" s="29" t="inlineStr">
        <is>
          <t>ACTIVISION BLIZZARD INC COM</t>
        </is>
      </c>
    </row>
    <row r="16">
      <c r="B16" s="29" t="inlineStr">
        <is>
          <t>BBIO</t>
        </is>
      </c>
      <c r="C16" s="29" t="inlineStr">
        <is>
          <t>BRIDGEBIO PHARMA INC COM</t>
        </is>
      </c>
    </row>
    <row r="17">
      <c r="B17" s="29" t="inlineStr">
        <is>
          <t>BKNG</t>
        </is>
      </c>
      <c r="C17" s="29" t="inlineStr">
        <is>
          <t>BOOKING HOLDINGS INCCOM</t>
        </is>
      </c>
    </row>
    <row r="18">
      <c r="B18" s="29" t="inlineStr">
        <is>
          <t>BKNG</t>
        </is>
      </c>
      <c r="C18" s="29" t="inlineStr">
        <is>
          <t>BOOKING HOLDINGS INC COM</t>
        </is>
      </c>
    </row>
    <row r="19">
      <c r="B19" s="29" t="inlineStr">
        <is>
          <t>BLK</t>
        </is>
      </c>
      <c r="C19" s="29" t="inlineStr">
        <is>
          <t>BLACKROCK INC COM</t>
        </is>
      </c>
    </row>
    <row r="20">
      <c r="B20" s="29" t="inlineStr">
        <is>
          <t>BRKB</t>
        </is>
      </c>
      <c r="C20" s="29" t="inlineStr">
        <is>
          <t>BERKSHIRE HATHAWAY INC COM USD0.0033 CLASS B</t>
        </is>
      </c>
    </row>
    <row r="21">
      <c r="B21" s="29" t="inlineStr">
        <is>
          <t>BTC-USD</t>
        </is>
      </c>
      <c r="C21" s="29" t="inlineStr">
        <is>
          <t>Bitcoin</t>
        </is>
      </c>
    </row>
    <row r="22">
      <c r="B22" s="29" t="inlineStr">
        <is>
          <t>CART</t>
        </is>
      </c>
      <c r="C22" s="29" t="inlineStr">
        <is>
          <t>MAPLEBEAR INC COM</t>
        </is>
      </c>
    </row>
    <row r="23">
      <c r="B23" s="29" t="inlineStr">
        <is>
          <t>CASY</t>
        </is>
      </c>
      <c r="C23" s="29" t="inlineStr">
        <is>
          <t>CASEYS GENERAL STORES INC</t>
        </is>
      </c>
    </row>
    <row r="24">
      <c r="B24" s="29" t="inlineStr">
        <is>
          <t>CAVA</t>
        </is>
      </c>
      <c r="C24" s="29" t="inlineStr">
        <is>
          <t>CAVA GROUP INC COM</t>
        </is>
      </c>
    </row>
    <row r="25">
      <c r="B25" s="29" t="inlineStr">
        <is>
          <t>CELH</t>
        </is>
      </c>
      <c r="C25" s="29" t="inlineStr">
        <is>
          <t>CELSIUS HLDGS INC COM NEW</t>
        </is>
      </c>
    </row>
    <row r="26">
      <c r="B26" s="29" t="inlineStr">
        <is>
          <t>CGNX</t>
        </is>
      </c>
      <c r="C26" s="29" t="inlineStr">
        <is>
          <t>COGNEX CORP COM</t>
        </is>
      </c>
    </row>
    <row r="27">
      <c r="B27" s="29" t="inlineStr">
        <is>
          <t>CHGG</t>
        </is>
      </c>
      <c r="C27" s="29" t="inlineStr">
        <is>
          <t>CHEGG INC COM</t>
        </is>
      </c>
    </row>
    <row r="28">
      <c r="B28" s="29" t="inlineStr">
        <is>
          <t>CMG</t>
        </is>
      </c>
      <c r="C28" s="29" t="inlineStr">
        <is>
          <t>CHIPOTLE MEXICAN GRILL INC</t>
        </is>
      </c>
    </row>
    <row r="29">
      <c r="B29" s="29" t="inlineStr">
        <is>
          <t>COST</t>
        </is>
      </c>
      <c r="C29" s="29" t="inlineStr">
        <is>
          <t>COSTCO WHOLESALE CORP COM USD0.01</t>
        </is>
      </c>
    </row>
    <row r="30">
      <c r="B30" s="29" t="inlineStr">
        <is>
          <t>CRM</t>
        </is>
      </c>
      <c r="C30" s="29" t="inlineStr">
        <is>
          <t>SALESFORCE.COM INC COM USD0.001</t>
        </is>
      </c>
    </row>
    <row r="31">
      <c r="B31" s="29" t="inlineStr">
        <is>
          <t>CRTO</t>
        </is>
      </c>
      <c r="C31" s="29" t="inlineStr">
        <is>
          <t>CRITEO ADR REP ORD</t>
        </is>
      </c>
    </row>
    <row r="32">
      <c r="B32" s="29" t="inlineStr">
        <is>
          <t>CRWD</t>
        </is>
      </c>
      <c r="C32" s="29" t="inlineStr">
        <is>
          <t>CROWDSTRIKE HLDGS INC CL A</t>
        </is>
      </c>
    </row>
    <row r="33">
      <c r="B33" s="29" t="inlineStr">
        <is>
          <t>DASH</t>
        </is>
      </c>
      <c r="C33" s="29" t="inlineStr">
        <is>
          <t>DOORDASH INC CL A</t>
        </is>
      </c>
    </row>
    <row r="34">
      <c r="B34" s="29" t="inlineStr">
        <is>
          <t>DASTY</t>
        </is>
      </c>
      <c r="C34" s="29" t="inlineStr">
        <is>
          <t>DASSAULT SYSTEMES SPON ADR EACH REP 1 ORD SHS</t>
        </is>
      </c>
    </row>
    <row r="35">
      <c r="B35" s="29" t="inlineStr">
        <is>
          <t>DDD</t>
        </is>
      </c>
      <c r="C35" s="29" t="inlineStr">
        <is>
          <t>3 D SYSTEMS INC COM USD0.001</t>
        </is>
      </c>
    </row>
    <row r="36">
      <c r="B36" s="29" t="inlineStr">
        <is>
          <t>DDOG</t>
        </is>
      </c>
      <c r="C36" s="29" t="inlineStr">
        <is>
          <t>DATADOG INC CL A COM</t>
        </is>
      </c>
    </row>
    <row r="37">
      <c r="B37" s="29" t="inlineStr">
        <is>
          <t>DE</t>
        </is>
      </c>
      <c r="C37" s="29" t="inlineStr">
        <is>
          <t>DEERE &amp; CO</t>
        </is>
      </c>
    </row>
    <row r="38">
      <c r="B38" s="29" t="inlineStr">
        <is>
          <t>DIS</t>
        </is>
      </c>
      <c r="C38" s="29" t="inlineStr">
        <is>
          <t>DISNEY WALT CO COM</t>
        </is>
      </c>
    </row>
    <row r="39">
      <c r="B39" s="29" t="inlineStr">
        <is>
          <t>DOCN</t>
        </is>
      </c>
      <c r="C39" s="29" t="inlineStr">
        <is>
          <t>DIGITALOCEAN HLDGS INC COM</t>
        </is>
      </c>
    </row>
    <row r="40">
      <c r="B40" s="29" t="inlineStr">
        <is>
          <t>DOCS</t>
        </is>
      </c>
      <c r="C40" s="29" t="inlineStr">
        <is>
          <t>Doximity</t>
        </is>
      </c>
    </row>
    <row r="41">
      <c r="B41" s="29" t="inlineStr">
        <is>
          <t>DOCU</t>
        </is>
      </c>
      <c r="C41" s="29" t="inlineStr">
        <is>
          <t>DOCUSIGN INC COM</t>
        </is>
      </c>
    </row>
    <row r="42">
      <c r="B42" s="29" t="inlineStr">
        <is>
          <t>DUOL</t>
        </is>
      </c>
      <c r="C42" s="29" t="inlineStr">
        <is>
          <t>DUOLINGO INC CL A COM</t>
        </is>
      </c>
    </row>
    <row r="43">
      <c r="B43" s="29" t="inlineStr">
        <is>
          <t>EBAY</t>
        </is>
      </c>
      <c r="C43" s="29" t="inlineStr">
        <is>
          <t>EBAY INC. COM</t>
        </is>
      </c>
    </row>
    <row r="44">
      <c r="B44" s="29" t="inlineStr">
        <is>
          <t>ESTC</t>
        </is>
      </c>
      <c r="C44" s="29" t="inlineStr">
        <is>
          <t>ELASTIC N V COM EUR0.01</t>
        </is>
      </c>
    </row>
    <row r="45">
      <c r="B45" s="29" t="inlineStr">
        <is>
          <t>ETH-USD</t>
        </is>
      </c>
      <c r="C45" s="29" t="inlineStr">
        <is>
          <t>Euthereum</t>
        </is>
      </c>
    </row>
    <row r="46">
      <c r="B46" s="29" t="inlineStr">
        <is>
          <t>FB</t>
        </is>
      </c>
      <c r="C46" s="29" t="inlineStr">
        <is>
          <t>FACEBOOK INC-CLASS A</t>
        </is>
      </c>
    </row>
    <row r="47">
      <c r="B47" s="29" t="inlineStr">
        <is>
          <t>FTEC</t>
        </is>
      </c>
      <c r="C47" s="29" t="inlineStr">
        <is>
          <t>FIDELITY MSCI INFORMATION TECHNOLOGY INDEX ETF</t>
        </is>
      </c>
    </row>
    <row r="48">
      <c r="B48" s="29" t="inlineStr">
        <is>
          <t>FTNT</t>
        </is>
      </c>
      <c r="C48" s="29" t="inlineStr">
        <is>
          <t>FORTINET INC COM</t>
        </is>
      </c>
    </row>
    <row r="49">
      <c r="B49" s="29" t="inlineStr">
        <is>
          <t>FVRR</t>
        </is>
      </c>
      <c r="C49" s="29" t="inlineStr">
        <is>
          <t>FIVERR INTERNATIONAL LTD COM NPV</t>
        </is>
      </c>
    </row>
    <row r="50">
      <c r="B50" s="29" t="inlineStr">
        <is>
          <t>GMED</t>
        </is>
      </c>
      <c r="C50" s="29" t="inlineStr">
        <is>
          <t>GLOBUS MEDICAL INC</t>
        </is>
      </c>
    </row>
    <row r="51">
      <c r="B51" s="29" t="inlineStr">
        <is>
          <t>GOOG</t>
        </is>
      </c>
      <c r="C51" s="29" t="inlineStr">
        <is>
          <t>ALPHABET INC CAP STKCL C</t>
        </is>
      </c>
    </row>
    <row r="52">
      <c r="B52" s="29" t="inlineStr">
        <is>
          <t>GOOG</t>
        </is>
      </c>
      <c r="C52" s="29" t="inlineStr">
        <is>
          <t>ALPHABET INC CAP STK CL C</t>
        </is>
      </c>
    </row>
    <row r="53">
      <c r="B53" s="29" t="inlineStr">
        <is>
          <t>GOOG</t>
        </is>
      </c>
      <c r="C53" s="33" t="inlineStr">
        <is>
          <t>ALPHABET INC CAP STK CL C</t>
        </is>
      </c>
    </row>
    <row r="54">
      <c r="B54" s="29" t="inlineStr">
        <is>
          <t>HAIN</t>
        </is>
      </c>
      <c r="C54" s="29" t="inlineStr">
        <is>
          <t>HAIN CELESTIAL GROUPINC</t>
        </is>
      </c>
    </row>
    <row r="55">
      <c r="B55" s="29" t="inlineStr">
        <is>
          <t>HD</t>
        </is>
      </c>
      <c r="C55" s="29" t="inlineStr">
        <is>
          <t>HOME DEPOT INC</t>
        </is>
      </c>
    </row>
    <row r="56">
      <c r="B56" s="29" t="inlineStr">
        <is>
          <t>HSY</t>
        </is>
      </c>
      <c r="C56" s="29" t="inlineStr">
        <is>
          <t>HERSHEY COMPANY COM USD1.00</t>
        </is>
      </c>
    </row>
    <row r="57">
      <c r="B57" s="29" t="inlineStr">
        <is>
          <t>HUBS</t>
        </is>
      </c>
      <c r="C57" s="29" t="inlineStr">
        <is>
          <t>HUBSPOT INC</t>
        </is>
      </c>
    </row>
    <row r="58">
      <c r="B58" s="29" t="inlineStr">
        <is>
          <t>INTC</t>
        </is>
      </c>
      <c r="C58" s="29" t="inlineStr">
        <is>
          <t>INTEL CORP COM</t>
        </is>
      </c>
    </row>
    <row r="59">
      <c r="B59" s="29" t="inlineStr">
        <is>
          <t>ISRG</t>
        </is>
      </c>
      <c r="C59" s="29" t="inlineStr">
        <is>
          <t>Intuitive Surgical</t>
        </is>
      </c>
    </row>
    <row r="60">
      <c r="B60" s="29" t="inlineStr">
        <is>
          <t>JPM</t>
        </is>
      </c>
      <c r="C60" s="29" t="inlineStr">
        <is>
          <t>JPMORGAN CHASE &amp;CO. COM</t>
        </is>
      </c>
    </row>
    <row r="61">
      <c r="B61" s="29" t="inlineStr">
        <is>
          <t>KD</t>
        </is>
      </c>
      <c r="C61" s="29" t="inlineStr">
        <is>
          <t>KYNDRYL HLDGS INC COMMON STOCK</t>
        </is>
      </c>
    </row>
    <row r="62">
      <c r="B62" s="29" t="inlineStr">
        <is>
          <t>KLAR</t>
        </is>
      </c>
      <c r="C62" s="29" t="inlineStr">
        <is>
          <t>KLARNA GROUP PLC</t>
        </is>
      </c>
    </row>
    <row r="63">
      <c r="B63" s="29" t="inlineStr">
        <is>
          <t>KNSL</t>
        </is>
      </c>
      <c r="C63" s="29" t="inlineStr">
        <is>
          <t>KINSALE CAP GROUP INC COM</t>
        </is>
      </c>
    </row>
    <row r="64">
      <c r="B64" s="29" t="inlineStr">
        <is>
          <t>LGF</t>
        </is>
      </c>
      <c r="C64" s="29" t="inlineStr">
        <is>
          <t>LIONS GATE ENTERTAINMENT CORP ISIN #CA5359192039 SEDOL #2753506 *REORGANIZATION*</t>
        </is>
      </c>
    </row>
    <row r="65">
      <c r="B65" s="29" t="inlineStr">
        <is>
          <t>LMND</t>
        </is>
      </c>
      <c r="C65" s="29" t="inlineStr">
        <is>
          <t>LEMONADE INC COM</t>
        </is>
      </c>
    </row>
    <row r="66">
      <c r="B66" s="29" t="inlineStr">
        <is>
          <t>LNKD</t>
        </is>
      </c>
      <c r="C66" s="29" t="inlineStr">
        <is>
          <t>LINKEDIN CORP COM USD0.0001 ISIN #US53578A1088 SEDOL #BLWDMP2</t>
        </is>
      </c>
    </row>
    <row r="67">
      <c r="B67" s="29" t="inlineStr">
        <is>
          <t>LULU</t>
        </is>
      </c>
      <c r="C67" s="29" t="inlineStr">
        <is>
          <t>LULULEMON ATHLETICA INC COM USD0.005</t>
        </is>
      </c>
    </row>
    <row r="68">
      <c r="B68" s="29" t="inlineStr">
        <is>
          <t>MDB</t>
        </is>
      </c>
      <c r="C68" s="29" t="inlineStr">
        <is>
          <t>MONGODB INC CL A</t>
        </is>
      </c>
    </row>
    <row r="69">
      <c r="B69" s="29" t="inlineStr">
        <is>
          <t>MELI</t>
        </is>
      </c>
      <c r="C69" s="29" t="inlineStr">
        <is>
          <t>MERCADOLIBRE INC COM USD0.001</t>
        </is>
      </c>
    </row>
    <row r="70">
      <c r="B70" s="29" t="inlineStr">
        <is>
          <t>META</t>
        </is>
      </c>
      <c r="C70" s="29" t="inlineStr">
        <is>
          <t>FACEBOOK INC-CLASS A</t>
        </is>
      </c>
    </row>
    <row r="71">
      <c r="B71" s="29" t="inlineStr">
        <is>
          <t>MRVL</t>
        </is>
      </c>
      <c r="C71" s="29" t="inlineStr">
        <is>
          <t>MARVELL TECHNOLOGY INC COM</t>
        </is>
      </c>
    </row>
    <row r="72">
      <c r="B72" s="29" t="inlineStr">
        <is>
          <t>MSFT</t>
        </is>
      </c>
      <c r="C72" s="29" t="inlineStr">
        <is>
          <t>MICROSOFT CORP</t>
        </is>
      </c>
    </row>
    <row r="73">
      <c r="B73" s="29" t="inlineStr">
        <is>
          <t>MTCH</t>
        </is>
      </c>
      <c r="C73" s="29" t="inlineStr">
        <is>
          <t>MATCH GROUP INC NEW COM</t>
        </is>
      </c>
    </row>
    <row r="74">
      <c r="B74" s="29" t="inlineStr">
        <is>
          <t>MTN</t>
        </is>
      </c>
      <c r="C74" s="29" t="inlineStr">
        <is>
          <t>VAIL RESORTS INC</t>
        </is>
      </c>
    </row>
    <row r="75">
      <c r="B75" s="29" t="inlineStr">
        <is>
          <t>NCR</t>
        </is>
      </c>
      <c r="C75" s="29" t="inlineStr">
        <is>
          <t>NCR CORP</t>
        </is>
      </c>
    </row>
    <row r="76">
      <c r="B76" s="29" t="inlineStr">
        <is>
          <t>NET</t>
        </is>
      </c>
      <c r="C76" s="29" t="inlineStr">
        <is>
          <t>Cloudflare Inc CL A COM</t>
        </is>
      </c>
    </row>
    <row r="77">
      <c r="B77" s="29" t="inlineStr">
        <is>
          <t>NFLX</t>
        </is>
      </c>
      <c r="C77" s="29" t="inlineStr">
        <is>
          <t>NETFLIX INC</t>
        </is>
      </c>
    </row>
    <row r="78">
      <c r="B78" s="29" t="inlineStr">
        <is>
          <t>NKE</t>
        </is>
      </c>
      <c r="C78" s="29" t="inlineStr">
        <is>
          <t>NIKE INC CLASS B COMNPV</t>
        </is>
      </c>
    </row>
    <row r="79">
      <c r="B79" s="29" t="inlineStr">
        <is>
          <t>NKE</t>
        </is>
      </c>
      <c r="C79" s="29" t="inlineStr">
        <is>
          <t>NIKE INC CLASS B COM NPV</t>
        </is>
      </c>
    </row>
    <row r="80">
      <c r="B80" s="29" t="inlineStr">
        <is>
          <t>NVDA</t>
        </is>
      </c>
      <c r="C80" s="29" t="inlineStr">
        <is>
          <t>NVIDIA CORPORATION COM</t>
        </is>
      </c>
    </row>
    <row r="81">
      <c r="B81" s="29" t="inlineStr">
        <is>
          <t>OKTA</t>
        </is>
      </c>
      <c r="C81" s="29" t="inlineStr">
        <is>
          <t>OKTA INC CL A</t>
        </is>
      </c>
    </row>
    <row r="82">
      <c r="B82" s="29" t="inlineStr">
        <is>
          <t>PATH</t>
        </is>
      </c>
      <c r="C82" s="29" t="inlineStr">
        <is>
          <t>UIPATH INC CL A</t>
        </is>
      </c>
    </row>
    <row r="83">
      <c r="B83" s="29" t="inlineStr">
        <is>
          <t>PAYC</t>
        </is>
      </c>
      <c r="C83" s="29" t="inlineStr">
        <is>
          <t>PAYCOM SOFTWARE INC COM USD0.01</t>
        </is>
      </c>
    </row>
    <row r="84">
      <c r="B84" s="29" t="inlineStr">
        <is>
          <t>PEP</t>
        </is>
      </c>
      <c r="C84" s="29" t="inlineStr">
        <is>
          <t>PEPSICO INC</t>
        </is>
      </c>
    </row>
    <row r="85">
      <c r="B85" s="29" t="inlineStr">
        <is>
          <t>PINS</t>
        </is>
      </c>
      <c r="C85" s="29" t="inlineStr">
        <is>
          <t>PINTEREST INC CL A</t>
        </is>
      </c>
    </row>
    <row r="86">
      <c r="B86" s="29" t="inlineStr">
        <is>
          <t>PLD</t>
        </is>
      </c>
      <c r="C86" s="29" t="inlineStr">
        <is>
          <t>PROLOGIS INC. COM</t>
        </is>
      </c>
    </row>
    <row r="87">
      <c r="B87" s="29" t="inlineStr">
        <is>
          <t>PYPL</t>
        </is>
      </c>
      <c r="C87" s="29" t="inlineStr">
        <is>
          <t>PAYPAL HLDGS INC COM</t>
        </is>
      </c>
    </row>
    <row r="88">
      <c r="B88" s="29" t="inlineStr">
        <is>
          <t>RBLX</t>
        </is>
      </c>
      <c r="C88" s="29" t="inlineStr">
        <is>
          <t>ROBLOX CORP CL A</t>
        </is>
      </c>
    </row>
    <row r="89">
      <c r="B89" s="29" t="inlineStr">
        <is>
          <t>ROKU</t>
        </is>
      </c>
      <c r="C89" s="29" t="inlineStr">
        <is>
          <t>ROKU INC COM CL A</t>
        </is>
      </c>
    </row>
    <row r="90">
      <c r="B90" s="29" t="inlineStr">
        <is>
          <t>RSP</t>
        </is>
      </c>
      <c r="C90" s="29" t="inlineStr">
        <is>
          <t>INVESCO EXCHANGE TRADED FD TR S&amp;P500 EQL WGT</t>
        </is>
      </c>
    </row>
    <row r="91">
      <c r="B91" s="29" t="inlineStr">
        <is>
          <t>SBUX</t>
        </is>
      </c>
      <c r="C91" s="29" t="inlineStr">
        <is>
          <t>STARBUCKS CORP COM USD0.001</t>
        </is>
      </c>
    </row>
    <row r="92">
      <c r="B92" s="29" t="inlineStr">
        <is>
          <t>SCHD</t>
        </is>
      </c>
      <c r="C92" s="29" t="inlineStr">
        <is>
          <t>SCHWAB US DIVIDEND EQUITY ETF</t>
        </is>
      </c>
    </row>
    <row r="93">
      <c r="B93" s="29" t="inlineStr">
        <is>
          <t>SFIX</t>
        </is>
      </c>
      <c r="C93" s="29" t="inlineStr">
        <is>
          <t>STITCH FIX INC COM CL A</t>
        </is>
      </c>
    </row>
    <row r="94">
      <c r="B94" s="29" t="inlineStr">
        <is>
          <t>SHOP</t>
        </is>
      </c>
      <c r="C94" s="29" t="inlineStr">
        <is>
          <t>SHOPIFY INC COM NPV CL A ISIN #CA82509L1076 SEDOL #BX865C7</t>
        </is>
      </c>
    </row>
    <row r="95">
      <c r="B95" s="29" t="inlineStr">
        <is>
          <t>SHW</t>
        </is>
      </c>
      <c r="C95" s="29" t="inlineStr">
        <is>
          <t>SHERWIN-WILLIAMS CO</t>
        </is>
      </c>
    </row>
    <row r="96">
      <c r="B96" s="29" t="inlineStr">
        <is>
          <t>SNOW</t>
        </is>
      </c>
      <c r="C96" s="29" t="inlineStr">
        <is>
          <t>SNOWFLAKE INC CL A</t>
        </is>
      </c>
    </row>
    <row r="97">
      <c r="B97" s="29" t="inlineStr">
        <is>
          <t>SPOT</t>
        </is>
      </c>
      <c r="C97" s="29" t="inlineStr">
        <is>
          <t>SPOTIFY TECHNOLOGY S.A. COM EUR0.000625</t>
        </is>
      </c>
    </row>
    <row r="98">
      <c r="B98" s="29" t="inlineStr">
        <is>
          <t>SSYS</t>
        </is>
      </c>
      <c r="C98" s="29" t="inlineStr">
        <is>
          <t>STRATASYS LTD</t>
        </is>
      </c>
    </row>
    <row r="99">
      <c r="B99" s="29" t="inlineStr">
        <is>
          <t>SWIR</t>
        </is>
      </c>
      <c r="C99" s="29" t="inlineStr">
        <is>
          <t>SIERRA WIRELESS INC COM ISIN #CA8265161064 SEDOL #2418968</t>
        </is>
      </c>
    </row>
    <row r="100">
      <c r="B100" s="29" t="inlineStr">
        <is>
          <t>TEAM</t>
        </is>
      </c>
      <c r="C100" s="29" t="inlineStr">
        <is>
          <t>ATLASSIAN CORPORATION PLC COM USD0.1 CL</t>
        </is>
      </c>
    </row>
    <row r="101">
      <c r="B101" s="29" t="inlineStr">
        <is>
          <t>TLND</t>
        </is>
      </c>
      <c r="C101" s="29" t="inlineStr">
        <is>
          <t>TALEND SA SPON ADS EACH REP 1 ORD SHS</t>
        </is>
      </c>
    </row>
    <row r="102">
      <c r="B102" s="29" t="inlineStr">
        <is>
          <t>TOST</t>
        </is>
      </c>
      <c r="C102" s="29" t="inlineStr">
        <is>
          <t>TOAST INC CL A</t>
        </is>
      </c>
    </row>
    <row r="103">
      <c r="B103" s="29" t="inlineStr">
        <is>
          <t>TSLA</t>
        </is>
      </c>
      <c r="C103" s="29" t="inlineStr">
        <is>
          <t>TESLA INC COM</t>
        </is>
      </c>
    </row>
    <row r="104">
      <c r="B104" s="29" t="inlineStr">
        <is>
          <t>TTD</t>
        </is>
      </c>
      <c r="C104" s="29" t="inlineStr">
        <is>
          <t>THE TRADE DESK INC COM CL A</t>
        </is>
      </c>
    </row>
    <row r="105">
      <c r="B105" s="29" t="inlineStr">
        <is>
          <t>TTWO</t>
        </is>
      </c>
      <c r="C105" s="29" t="inlineStr">
        <is>
          <t>TAKE-TWO INTERACTIVE SOFTWARE INC</t>
        </is>
      </c>
    </row>
    <row r="106">
      <c r="B106" s="29" t="inlineStr">
        <is>
          <t>TWLO</t>
        </is>
      </c>
      <c r="C106" s="29" t="inlineStr">
        <is>
          <t>TWILIO INC CL A</t>
        </is>
      </c>
    </row>
    <row r="107">
      <c r="B107" s="29" t="inlineStr">
        <is>
          <t>U</t>
        </is>
      </c>
      <c r="C107" s="29" t="inlineStr">
        <is>
          <t>UNITY SOFTWARE INC COM</t>
        </is>
      </c>
    </row>
    <row r="108">
      <c r="B108" s="29" t="inlineStr">
        <is>
          <t>UA</t>
        </is>
      </c>
      <c r="C108" s="29" t="inlineStr">
        <is>
          <t>UNDER ARMOUR INC CL C</t>
        </is>
      </c>
    </row>
    <row r="109">
      <c r="B109" s="29" t="inlineStr">
        <is>
          <t>UAA</t>
        </is>
      </c>
      <c r="C109" s="29" t="inlineStr">
        <is>
          <t>UNDER ARMOUR INC COMSTK USD0.000333 CLASS A</t>
        </is>
      </c>
    </row>
    <row r="110">
      <c r="B110" s="29" t="inlineStr">
        <is>
          <t>UPST</t>
        </is>
      </c>
      <c r="C110" s="29" t="inlineStr">
        <is>
          <t>UPSTART HLDGS INC COM</t>
        </is>
      </c>
    </row>
    <row r="111">
      <c r="B111" s="29" t="inlineStr">
        <is>
          <t>VIG</t>
        </is>
      </c>
      <c r="C111" s="29" t="inlineStr">
        <is>
          <t>VANGUARD SPECIALIZED FUNDS DIV APP ETF</t>
        </is>
      </c>
    </row>
    <row r="112">
      <c r="B112" s="29" t="inlineStr">
        <is>
          <t>VNQ</t>
        </is>
      </c>
      <c r="C112" s="29" t="inlineStr">
        <is>
          <t>VANGUARD REAL ESTATE ETF</t>
        </is>
      </c>
    </row>
    <row r="113">
      <c r="B113" s="29" t="inlineStr">
        <is>
          <t>VOO</t>
        </is>
      </c>
      <c r="C113" s="29" t="inlineStr">
        <is>
          <t>VANGUARD INDEX FUNDS S&amp;P 500 ETF USD</t>
        </is>
      </c>
    </row>
    <row r="114">
      <c r="B114" s="29" t="inlineStr">
        <is>
          <t>VTI</t>
        </is>
      </c>
      <c r="C114" s="29" t="inlineStr">
        <is>
          <t>VANGUARD INDEX FDS VANGUARD TOTAL STK MKT ETF</t>
        </is>
      </c>
    </row>
    <row r="115">
      <c r="B115" s="29" t="inlineStr">
        <is>
          <t>WD</t>
        </is>
      </c>
      <c r="C115" s="29" t="inlineStr">
        <is>
          <t>WALKER &amp; DUNLOP INC COM</t>
        </is>
      </c>
    </row>
    <row r="116">
      <c r="B116" s="29" t="inlineStr">
        <is>
          <t>WEX</t>
        </is>
      </c>
      <c r="C116" s="29" t="inlineStr">
        <is>
          <t>WEX INC</t>
        </is>
      </c>
    </row>
    <row r="117">
      <c r="B117" s="29" t="inlineStr">
        <is>
          <t>WFM</t>
        </is>
      </c>
      <c r="C117" s="29" t="inlineStr">
        <is>
          <t>WHOLE FOODS MARKET INC COM STK NPV *CASH MERGER AT $42.00 PER SHARE*</t>
        </is>
      </c>
    </row>
    <row r="118">
      <c r="B118" s="29" t="inlineStr">
        <is>
          <t>XYZ</t>
        </is>
      </c>
      <c r="C118" s="29" t="inlineStr">
        <is>
          <t>SQUARE INC CL A</t>
        </is>
      </c>
    </row>
    <row r="119">
      <c r="B119" s="29" t="inlineStr">
        <is>
          <t>ZAYO</t>
        </is>
      </c>
      <c r="C119" s="29" t="inlineStr">
        <is>
          <t>ZAYO GROUP HOLDINGS INC COM USD0.001 *CASH MERGER AT $35.00*</t>
        </is>
      </c>
    </row>
    <row r="120">
      <c r="B120" s="29" t="inlineStr">
        <is>
          <t>ZI</t>
        </is>
      </c>
      <c r="C120" s="29" t="inlineStr">
        <is>
          <t>ZOOMINFO TECHNOLOGIES INC COM CL A</t>
        </is>
      </c>
    </row>
    <row r="121">
      <c r="B121" s="29" t="inlineStr">
        <is>
          <t>ZM</t>
        </is>
      </c>
      <c r="C121" s="29" t="inlineStr">
        <is>
          <t>ZOOM VIDEO COMMUNICATIONS INC CL A</t>
        </is>
      </c>
    </row>
    <row r="122">
      <c r="B122" s="29" t="inlineStr">
        <is>
          <t>ZNGA</t>
        </is>
      </c>
      <c r="C122" s="29" t="inlineStr">
        <is>
          <t>ZYNGA INC</t>
        </is>
      </c>
    </row>
    <row r="123">
      <c r="B123" s="30" t="inlineStr">
        <is>
          <t>ZS</t>
        </is>
      </c>
      <c r="C123" s="30" t="inlineStr">
        <is>
          <t>ZSCALER INC COM</t>
        </is>
      </c>
    </row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2026-03-31T03:04:34Z</dcterms:created>
  <dcterms:modified xsi:type="dcterms:W3CDTF">2026-04-25T15:03:06Z</dcterms:modified>
  <cp:lastModifiedBy>Andrew Norby</cp:lastModifiedBy>
</cp:coreProperties>
</file>